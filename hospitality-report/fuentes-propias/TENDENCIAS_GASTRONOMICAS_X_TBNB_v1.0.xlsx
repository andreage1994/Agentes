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ICIO" sheetId="1" state="visible" r:id="rId3"/>
    <sheet name="FICHAS" sheetId="2" state="visible" r:id="rId4"/>
    <sheet name="MAPA" sheetId="3" state="visible" r:id="rId5"/>
    <sheet name="PRIORIDAD" sheetId="4" state="visible" r:id="rId6"/>
    <sheet name="CASOS" sheetId="5" state="visible" r:id="rId7"/>
    <sheet name="PREGUNTAS_v1.1" sheetId="6" state="visible" r:id="rId8"/>
    <sheet name="FUENTES" sheetId="7" state="visible" r:id="rId9"/>
  </sheets>
  <definedNames>
    <definedName function="false" hidden="true" localSheetId="1" name="_xlnm._FilterDatabase" vbProcedure="false">FICHAS!$B$4:$W$33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<sst xmlns="http://schemas.openxmlformats.org/spreadsheetml/2006/main" count="1031" uniqueCount="668">
  <si>
    <t xml:space="preserve">TENDENCIAS GASTRONÓMICAS · RESEARCH SEMANA 3 · TBNB</t>
  </si>
  <si>
    <t xml:space="preserve">The Bar N' Bar · Gastro Consulting — Breakdown · Architecture · Run · Octubre 2026 · v1.0 (borrador para validación)</t>
  </si>
  <si>
    <t xml:space="preserve">Para qué sirve</t>
  </si>
  <si>
    <t xml:space="preserve">Base de tendencias del sector (Barcelona, Madrid e internacional) con evidencia de negocios reales. Alimenta la semana 4: cruce con el Hospitality Trends Report e incorporación de preguntas nuevas a la Auditoría Gastronómica (v1.1).</t>
  </si>
  <si>
    <t xml:space="preserve">Cómo se lee</t>
  </si>
  <si>
    <t xml:space="preserve">Cada fila de FICHAS es una tendencia con las cinco preguntas del encargo: qué está pasando · por qué · qué negocios lo hacen · impacto en operación y rentabilidad · aplicabilidad en España. Se añade su vínculo con las áreas (A01–A10) y coherencias (C1–C3) de la auditoría.</t>
  </si>
  <si>
    <t xml:space="preserve">Qué se edita</t>
  </si>
  <si>
    <t xml:space="preserve">Solo las celdas con texto azul y fondo verde claro (Aplicabilidad, Impacto, Madurez, Evidencia y la decisión TBNB en PREGUNTAS_v1.1). Prioridad, recuentos y mapa se calculan solos.</t>
  </si>
  <si>
    <t xml:space="preserve">Prioridad TBNB</t>
  </si>
  <si>
    <t xml:space="preserve">Aplicabilidad (Alta 3 · Media 2 · Baja 1) × Impacto en el negocio del cliente (1–3). Rango 1–9. ≥ 6 = prioritaria para la v1.1 de la auditoría y para el discurso comercial.</t>
  </si>
  <si>
    <t xml:space="preserve">Evidencia</t>
  </si>
  <si>
    <t xml:space="preserve">A · Dato: cifra de estudio, estadística oficial o barómetro. B · Casos: varios negocios reales lo hacen. C · Señal: indicio cualitativo o dato no verificado. (INT) = el dato es de fuera de España.</t>
  </si>
  <si>
    <t xml:space="preserve">Madurez</t>
  </si>
  <si>
    <t xml:space="preserve">Emergente: pocos casos, aún no generalizado. Creciente: se extiende con rapidez. Consolidada: ya forma parte del mercado.</t>
  </si>
  <si>
    <t xml:space="preserve">Signo en rentabilidad</t>
  </si>
  <si>
    <t xml:space="preserve">+ mejora el margen si se aplica bien · − presiona el margen · ± depende de la ejecución.</t>
  </si>
  <si>
    <t xml:space="preserve">Límites</t>
  </si>
  <si>
    <t xml:space="preserve">Research de despacho con fuentes públicas a fecha 8-oct-2026. Los datos de proveedores (Orbisk, Coravin, CoverManager) son afirmaciones comerciales. Verificar en el BOE el ámbito exacto de la Ley 1/2025 y el calendario final de Verifactu antes de usarlos con un cliente.</t>
  </si>
  <si>
    <t xml:space="preserve">HOJAS</t>
  </si>
  <si>
    <t xml:space="preserve">FICHAS</t>
  </si>
  <si>
    <t xml:space="preserve">Una fila por tendencia (29) en las 9 áreas de investigación.</t>
  </si>
  <si>
    <t xml:space="preserve">MAPA</t>
  </si>
  <si>
    <t xml:space="preserve">Resumen por área: nº de tendencias, aplicabilidad alta, prioridad media y máxima.</t>
  </si>
  <si>
    <t xml:space="preserve">PRIORIDAD</t>
  </si>
  <si>
    <t xml:space="preserve">Tendencias ordenadas por Prioridad TBNB (se recalcula al cambiar aplicabilidad o impacto).</t>
  </si>
  <si>
    <t xml:space="preserve">CASOS</t>
  </si>
  <si>
    <t xml:space="preserve">Negocios reales usados como evidencia, con ciudad y tendencia.</t>
  </si>
  <si>
    <t xml:space="preserve">PREGUNTAS_v1.1</t>
  </si>
  <si>
    <t xml:space="preserve">Preguntas propuestas para la auditoría, con la decisión de TBNB.</t>
  </si>
  <si>
    <t xml:space="preserve">FUENTES</t>
  </si>
  <si>
    <t xml:space="preserve">Enlaces utilizados.</t>
  </si>
  <si>
    <t xml:space="preserve">FICHAS DE TENDENCIAS</t>
  </si>
  <si>
    <t xml:space="preserve">Editar solo las celdas en azul sobre verde claro. Una fila = una tendencia.</t>
  </si>
  <si>
    <t xml:space="preserve">ID</t>
  </si>
  <si>
    <t xml:space="preserve">Área de investigación</t>
  </si>
  <si>
    <t xml:space="preserve">Tendencia</t>
  </si>
  <si>
    <t xml:space="preserve">Qué está pasando</t>
  </si>
  <si>
    <t xml:space="preserve">Por qué</t>
  </si>
  <si>
    <t xml:space="preserve">Qué negocios lo hacen</t>
  </si>
  <si>
    <t xml:space="preserve">Mercado</t>
  </si>
  <si>
    <t xml:space="preserve">Dato clave</t>
  </si>
  <si>
    <t xml:space="preserve">Impacto en la operación</t>
  </si>
  <si>
    <t xml:space="preserve">Impacto en la rentabilidad</t>
  </si>
  <si>
    <t xml:space="preserve">Signo rentab.</t>
  </si>
  <si>
    <t xml:space="preserve">Aplicabilidad España</t>
  </si>
  <si>
    <t xml:space="preserve">Por qué esa aplicabilidad</t>
  </si>
  <si>
    <t xml:space="preserve">Impacto en el negocio (1–3)</t>
  </si>
  <si>
    <t xml:space="preserve">Puntos aplic.</t>
  </si>
  <si>
    <t xml:space="preserve">Prioridad TBNB (1–9)</t>
  </si>
  <si>
    <t xml:space="preserve">Áreas auditoría</t>
  </si>
  <si>
    <t xml:space="preserve">Coherencia</t>
  </si>
  <si>
    <t xml:space="preserve">Pregunta propuesta (v1.1)</t>
  </si>
  <si>
    <t xml:space="preserve">Fuentes</t>
  </si>
  <si>
    <t xml:space="preserve">Orden (aux.)</t>
  </si>
  <si>
    <t xml:space="preserve">T01</t>
  </si>
  <si>
    <t xml:space="preserve">Concepto</t>
  </si>
  <si>
    <t xml:space="preserve">Casualización de la alta cocina</t>
  </si>
  <si>
    <t xml:space="preserve">Chefs con estrella cierran o complementan el menú degustación con barras y bistrós de ticket medio (≈50 €), cartas amplias de bocados y servicio informal; en Londres, triestrellados abren carta a mediodía.</t>
  </si>
  <si>
    <t xml:space="preserve">Cliente más selectivo que busca calidad-precio; el menú largo es caro de producir y de vender; la marca del chef rentabiliza mejor en formatos de más rotación.</t>
  </si>
  <si>
    <t xml:space="preserve">Bera (Martín Berasategui, Hotel Monument, BCN) sustituye a Oria (cerrado oct. 2025) · Hélène Darroze at The Connaught (Londres, carta de mediodía &lt;135 $) · The Ninth (Londres) · Cardinal (Edimburgo, 'Menú del Mercado' ≈34 $)</t>
  </si>
  <si>
    <t xml:space="preserve">BCN · INT</t>
  </si>
  <si>
    <t xml:space="preserve">Bera: ≈50 €/persona con barra central y cócteles de afterwork (Time Out, abr. 2026).</t>
  </si>
  <si>
    <t xml:space="preserve">Más cubiertos y rotación; cartas más largas que el menú degustación → sube el ICP medio y el riesgo de huérfanos si no se diseña con bases comunes.</t>
  </si>
  <si>
    <t xml:space="preserve">Ticket más bajo compensado con volumen y bebida; el margen depende de controlar complejidad y mermas.</t>
  </si>
  <si>
    <t xml:space="preserve">±</t>
  </si>
  <si>
    <t xml:space="preserve">Alta</t>
  </si>
  <si>
    <t xml:space="preserve">Ya está ocurriendo en BCN y MAD; replicable en grupos con chef de referencia.</t>
  </si>
  <si>
    <t xml:space="preserve">Creciente</t>
  </si>
  <si>
    <t xml:space="preserve">B · Casos</t>
  </si>
  <si>
    <t xml:space="preserve">A01 · A02 · A10</t>
  </si>
  <si>
    <t xml:space="preserve">C1 · C2</t>
  </si>
  <si>
    <t xml:space="preserve">A01 · ¿El formato (degustación, carta, barra) encaja con el ticket objetivo y con la frecuencia de visita que busca el concepto?</t>
  </si>
  <si>
    <t xml:space="preserve">https://www.timeout.es/barcelona/es/noticias/el-chef-com-mas-estrellas-michelin-de-espana-y-el-tercero-del-mundo-abre-un-restaurante-asequible-en-barcelona-042026 | https://www.que.es/2026/07/26/martin-berasategui-cierra-estrella-michelin-tapas/ | https://www.forbesargentina.com/lifestyle/menus-mas-cortos-precios-accesibles-formula-alta-cocina-busca-nuevos-clientes-n96944</t>
  </si>
  <si>
    <t xml:space="preserve">T02</t>
  </si>
  <si>
    <t xml:space="preserve">Restaurante monoproducto o de origen</t>
  </si>
  <si>
    <t xml:space="preserve">Aperturas construidas alrededor de un solo producto u origen (atún rojo, cocina gallega, producto de mercado) con carta que cambia según disponibilidad.</t>
  </si>
  <si>
    <t xml:space="preserve">Diferenciación clara y fácil de comunicar; relato de origen; compras concentradas en pocos proveedores.</t>
  </si>
  <si>
    <t xml:space="preserve">El Campero (atún rojo de Barbate, Madrid 2026) · Garelos (cocina gallega, Madrid 2026) · Varra (producto de temporada, Madrid 2026)</t>
  </si>
  <si>
    <t xml:space="preserve">MAD</t>
  </si>
  <si>
    <t xml:space="preserve">5 aperturas destacadas en Madrid 2026; 3 de ellas definidas por producto u origen (The Objective, ene. 2026).</t>
  </si>
  <si>
    <t xml:space="preserve">Menos ingredientes y más transversales; exige dominio de despiece y aprovechamiento integral del producto.</t>
  </si>
  <si>
    <t xml:space="preserve">Food cost alto en producto premium; el margen sale del aprovechamiento (cortes, recortes) y de la negociación con 1–2 proveedores.</t>
  </si>
  <si>
    <t xml:space="preserve">Encaja con la cultura de producto española y con el Test de la frase del método.</t>
  </si>
  <si>
    <t xml:space="preserve">Consolidada</t>
  </si>
  <si>
    <t xml:space="preserve">A01 · A03 · A04 · A06</t>
  </si>
  <si>
    <t xml:space="preserve">C1 · C3</t>
  </si>
  <si>
    <t xml:space="preserve">A04 · ¿Existe plan de contingencia si falla el proveedor del producto que define el concepto (precio, temporada, cupo)?</t>
  </si>
  <si>
    <t xml:space="preserve">https://theobjective.com/gastronomia/2026-01-09/nuevos-restaurantes-abriran-madrid-2026/</t>
  </si>
  <si>
    <t xml:space="preserve">T03</t>
  </si>
  <si>
    <t xml:space="preserve">Cartas cortas y raciones flexibles</t>
  </si>
  <si>
    <t xml:space="preserve">Menos referencias, medias raciones y tamaños a elegir; la Ley 1/2025 recomienda raciones flexibles como buena práctica.</t>
  </si>
  <si>
    <t xml:space="preserve">El cliente pide menos (plato único, sin postre); presión de costes y de personal; prevención del desperdicio.</t>
  </si>
  <si>
    <t xml:space="preserve">Restauración francesa racionaliza cartas y procesos (Hospitality ON) · cadenas en EE. UU. y Reino Unido reducen porciones y cartas · 'buenas prácticas' del art. 13 Ley 1/2025</t>
  </si>
  <si>
    <t xml:space="preserve">ESP · INT</t>
  </si>
  <si>
    <t xml:space="preserve">37 % de los españoles elige consumos más pequeños fuera de casa (un solo plato, sin postre) · Barómetro AECOC/40dB, mayo 2026.</t>
  </si>
  <si>
    <t xml:space="preserve">Menos mise en place, menos huérfanos, menos partidas saturadas; facilita polivalencia.</t>
  </si>
  <si>
    <t xml:space="preserve">Baja el ticket por comensal si no se diseña la escalera de precios (media/entera, suplementos).</t>
  </si>
  <si>
    <t xml:space="preserve">Encaja con la cultura de raciones y medias raciones; apoyo normativo.</t>
  </si>
  <si>
    <t xml:space="preserve">A · Dato</t>
  </si>
  <si>
    <t xml:space="preserve">A02 · A06 · A10</t>
  </si>
  <si>
    <t xml:space="preserve">C2 · C3</t>
  </si>
  <si>
    <t xml:space="preserve">A02 · ¿La carta ofrece formatos de ración (media/entera) con precio y escandallo propios para cada formato?</t>
  </si>
  <si>
    <t xml:space="preserve">https://www.bolsamania.com/noticias/empresas/economia--el-66-de-los-espanoles-sale-a-bares-y-restaurantes-igual-o-mas-que-hace-un-ano-impulsado-por-los-jovenes--22469129.html | https://hospitality-on.com/fr/restauration/vers-une-rationalisation-des-menus-et-des-process-dans-la-restauration | https://www.elespanol.com/sociedad/20260509/espana-cambia-normas-bares-restaurantes-deberan-ofrecer-raciones-pequenas-entregar-sobras-gratis/1003744237215_0.html</t>
  </si>
  <si>
    <t xml:space="preserve">T04</t>
  </si>
  <si>
    <t xml:space="preserve">Producto</t>
  </si>
  <si>
    <t xml:space="preserve">Brasa y fuego vivo como eje de la cocina</t>
  </si>
  <si>
    <t xml:space="preserve">La parrilla de carbón o leña pasa de técnica a identidad: cartas de cortes, pescado y verdura a la brasa, también en fast casual.</t>
  </si>
  <si>
    <t xml:space="preserve">Sabor diferencial difícil de copiar en casa; relato artesanal; pocas elaboraciones previas.</t>
  </si>
  <si>
    <t xml:space="preserve">Aleteo (vinculado a Grupo Rocacho, Madrid 2026) · Honest Greens (fast casual con técnicas de fuego, 41 locales)</t>
  </si>
  <si>
    <t xml:space="preserve">MAD · BCN · INT</t>
  </si>
  <si>
    <t xml:space="preserve">Honest Greens: 41 restaurantes en 6 ciudades de España y Portugal y expansión a Londres y París (HRC, jun. 2026).</t>
  </si>
  <si>
    <t xml:space="preserve">Equipo exclusivo y cuello de botella en el pico; depende de un parrillero cualificado; menos mise en place.</t>
  </si>
  <si>
    <t xml:space="preserve">Producto caro y merma de cocción; compensa con precio por percepción de valor y carta corta.</t>
  </si>
  <si>
    <t xml:space="preserve">Tradición de asador en España; ojo a licencias de humos en BCN.</t>
  </si>
  <si>
    <t xml:space="preserve">A03 · A07 · A08 · A10</t>
  </si>
  <si>
    <t xml:space="preserve">C2</t>
  </si>
  <si>
    <t xml:space="preserve">A08 · ¿La capacidad de la parrilla/brasa cubre el % de ventas que pasa por ella en el pico, sin depender de una sola persona?</t>
  </si>
  <si>
    <t xml:space="preserve">https://theobjective.com/gastronomia/2026-01-09/nuevos-restaurantes-abriran-madrid-2026/ | https://www.hrc.co.uk/news/hg-announces-second-london-opening-victoria-uk-expansion-gathers-pace</t>
  </si>
  <si>
    <t xml:space="preserve">T05</t>
  </si>
  <si>
    <t xml:space="preserve">Proteína visible y verdura protagonista (adiós al sucedáneo)</t>
  </si>
  <si>
    <t xml:space="preserve">Caen los sucedáneos cárnicos ultraprocesados y crecen los platos 'altos en proteína' y la cocina vegetal sin imitar carne.</t>
  </si>
  <si>
    <t xml:space="preserve">Desconfianza hacia el ultraprocesado; auge de la proteína en dietas y en usuarios de GLP-1; cliente más exigente con lo vegetal.</t>
  </si>
  <si>
    <t xml:space="preserve">Chipotle (High Protein Menu, 'GLP-1 friendly') · Subway (Protein Pockets) · cierres de Neat Burger y Vurger Co (Londres) · Eleven Madison Park reintroduce carne (2025) · Virens (Rodrigo de la Calle, BCN, cocina vegetal)</t>
  </si>
  <si>
    <t xml:space="preserve">INT · BCN</t>
  </si>
  <si>
    <t xml:space="preserve">Ventas de alimentación plant-based en Reino Unido −4,5 % (año a ene. 2025).</t>
  </si>
  <si>
    <t xml:space="preserve">Platos vegetales de técnica propia en vez de producto comprado: más elaboraciones, menos dependencia de proveedor industrial.</t>
  </si>
  <si>
    <t xml:space="preserve">Lo vegetal tiene food cost bajo si se vende por técnica y no como sustituto barato.</t>
  </si>
  <si>
    <t xml:space="preserve">+</t>
  </si>
  <si>
    <t xml:space="preserve">Media</t>
  </si>
  <si>
    <t xml:space="preserve">El consumo de sucedáneos en España es menor; el gancho 'proteína' llega más por cafeterías y fast casual.</t>
  </si>
  <si>
    <t xml:space="preserve">A02 · A03</t>
  </si>
  <si>
    <t xml:space="preserve">C1</t>
  </si>
  <si>
    <t xml:space="preserve">A02 · ¿La oferta vegetal y la de alto contenido proteico responden al cliente objetivo, o son platos de compromiso con baja venta?</t>
  </si>
  <si>
    <t xml:space="preserve">https://londontheinside.com/where-have-all-the-vegans-gone/ | https://www.axios.com/2026/01/07/restaurant-menu-high-protein-dunkin-subway-chipotle</t>
  </si>
  <si>
    <t xml:space="preserve">T06</t>
  </si>
  <si>
    <t xml:space="preserve">Cocinas internacionales concretas y regionales</t>
  </si>
  <si>
    <t xml:space="preserve">Se especializa lo 'internacional': libanesa, coreana o del Egeo en lugar de 'fusión'; y cocinas regionales españolas (gallega) en grandes ciudades.</t>
  </si>
  <si>
    <t xml:space="preserve">Público joven viajado y expuesto a redes; búsqueda de autenticidad; diferenciación frente a la oferta genérica.</t>
  </si>
  <si>
    <t xml:space="preserve">Obe (libanés, platos para compartir, Madrid 2026) · Garelos (gallego, Madrid 2026) · Pocha, Casa Moon, Hana (coreanos, BCN) · tendencia de cocina del Egeo en Reino Unido</t>
  </si>
  <si>
    <t xml:space="preserve">Señal cualitativa: aperturas 2026 y Restaurant Trends Report 2026 (Reino Unido).</t>
  </si>
  <si>
    <t xml:space="preserve">Despensa específica con ingredientes de importación → riesgo de huérfanos y de rotura de stock.</t>
  </si>
  <si>
    <t xml:space="preserve">Proveedores especializados con menos competencia de precio.</t>
  </si>
  <si>
    <t xml:space="preserve">−</t>
  </si>
  <si>
    <t xml:space="preserve">Fuerte en BCN y MAD; débil en ciudades medianas.</t>
  </si>
  <si>
    <t xml:space="preserve">C · Señal</t>
  </si>
  <si>
    <t xml:space="preserve">A01 · A04</t>
  </si>
  <si>
    <t xml:space="preserve">A03 · Si el concepto se presenta como 'auténtico' de un origen, ¿producto, técnica y equipo lo sostienen?</t>
  </si>
  <si>
    <t xml:space="preserve">https://theobjective.com/gastronomia/2026-01-09/nuevos-restaurantes-abriran-madrid-2026/ | https://tastymondays.substack.com/p/la-invasion-coreana-llega-a-barcelona | https://www.restaurantonline.co.uk/Article/2026/07/20/11-trends-shaping-and-set-to-shape-the-restaurant-sector-in-2026/</t>
  </si>
  <si>
    <t xml:space="preserve">T07</t>
  </si>
  <si>
    <t xml:space="preserve">Cliente</t>
  </si>
  <si>
    <t xml:space="preserve">Se come antes y se sale de día (tardeo)</t>
  </si>
  <si>
    <t xml:space="preserve">Parte del gasto nocturno se desplaza a la tarde y al mediodía; el tardeo ya es una franja de negocio propia.</t>
  </si>
  <si>
    <t xml:space="preserve">Conciliación, envejecimiento de la clientela de ocio, menos alcohol entre jóvenes, salud y horarios de trabajo híbrido.</t>
  </si>
  <si>
    <t xml:space="preserve">800 locales de ocio en Madrid con tardeo (Noche Madrid) · restaurantes de Londres con +11 % de reservas a las 18:00 · 24 % de los restaurantes encuestados por España de Noche hace tardeo cada fin de semana</t>
  </si>
  <si>
    <t xml:space="preserve">MAD · ESP · INT</t>
  </si>
  <si>
    <t xml:space="preserve">Tardeo = 26,3 % de la facturación semanal de los locales que lo ofrecen; gasto medio 45 € en Madrid (Noche Madrid, ago. 2026). 50 % de los españoles ha pasado gasto de noche a día y 30 % come antes (AECOC, may. 2026).</t>
  </si>
  <si>
    <t xml:space="preserve">Nueva franja 17–20 h que rompe la curva clásica de producción: turnos partidos, mise en place para tres servicios.</t>
  </si>
  <si>
    <t xml:space="preserve">Más horas de venta sobre el mismo alquiler; necesita oferta propia (picoteo, bebida) para no canibalizar la cena.</t>
  </si>
  <si>
    <t xml:space="preserve">Fenómeno nacido en España; muy relevante en MAD, creciente en BCN.</t>
  </si>
  <si>
    <t xml:space="preserve">A01 · A07</t>
  </si>
  <si>
    <t xml:space="preserve">A07 · ¿Turnos y mise en place están dimensionados con la curva de ventas por franja horaria real (TPV), incluida la tarde?</t>
  </si>
  <si>
    <t xml:space="preserve">https://diario.madrid.es/blog/notas-de-prensa/casi-el-60-de-los-locales-de-ocio-de-madrid-reconoce-que-el-tardeo-ha-incrementado-sus-ingresos/ | https://www.xataka.com/magnet/hace-anos-tardeo-era-perfecto-desconocido-hosteleria-espanola-hoy-mueve-26-negocio | https://www.xataka.com/magnet/contracultura-gen-z-no-huele-a-tabaco-a-copas-sino-a-cafe-cenas-tempranas | https://www.bolsamania.com/noticias/empresas/economia--el-66-de-los-espanoles-sale-a-bares-y-restaurantes-igual-o-mas-que-hace-un-ano-impulsado-por-los-jovenes--22469129.html</t>
  </si>
  <si>
    <t xml:space="preserve">T08</t>
  </si>
  <si>
    <t xml:space="preserve">Cliente selectivo: sale igual, gasta con más cuidado</t>
  </si>
  <si>
    <t xml:space="preserve">La frecuencia se mantiene pero el gasto por visita se contiene; se exige relación calidad-precio y experiencias distintas.</t>
  </si>
  <si>
    <t xml:space="preserve">Precios de restauración por encima del IPC general; renta disponible presionada; más oferta.</t>
  </si>
  <si>
    <t xml:space="preserve">Fenómeno de mercado (no de un negocio concreto).</t>
  </si>
  <si>
    <t xml:space="preserve">ESP</t>
  </si>
  <si>
    <t xml:space="preserve">66 % sale igual o más que hace un año, pero 20 % gasta menos y 53 % iría en horas valle por mejor precio (AECOC, may. 2026). IPC restaurantes y alojamiento 4,8 % vs 2,3 % general (INE, feb. 2026). Gasto medio en restauración por persona 1.146 € (−1,6 %, 2024).</t>
  </si>
  <si>
    <t xml:space="preserve">Menos margen para errores de ejecución: una mala experiencia pesa más.</t>
  </si>
  <si>
    <t xml:space="preserve">Presión sobre ticket medio; subir precio sin subir valor percibido erosiona la frecuencia.</t>
  </si>
  <si>
    <t xml:space="preserve">Dato nacional.</t>
  </si>
  <si>
    <t xml:space="preserve">A01 · A02 · A05</t>
  </si>
  <si>
    <t xml:space="preserve">A01 · ¿Se ha medido la relación calidad-precio percibida en reseñas (tema 'precio') y su evolución tras la última subida de carta?</t>
  </si>
  <si>
    <t xml:space="preserve">https://www.bolsamania.com/noticias/empresas/economia--el-66-de-los-espanoles-sale-a-bares-y-restaurantes-igual-o-mas-que-hace-un-ano-impulsado-por-los-jovenes--22469129.html | https://ine.es/dyngs/Prensa/IPC0226.htm | https://otea.es/wp-content/uploads/2025/12/ANUARIO-HOSTELERIA-2025.pdf | https://www.vinetur.com/amp/2026031297440/un-tercio-de-los-hosteleros-espanoles-planea-abrir-nuevos-locales-en-2026-pese-al-impacto-de-la-inflacion.html</t>
  </si>
  <si>
    <t xml:space="preserve">T09</t>
  </si>
  <si>
    <t xml:space="preserve">El comensal solo y la barra</t>
  </si>
  <si>
    <t xml:space="preserve">Crecen las reservas de una persona; la barra se convierte en el espacio para ese cliente y para el formato informal.</t>
  </si>
  <si>
    <t xml:space="preserve">Más hogares unipersonales, viajes de trabajo, normalización social de comer solo.</t>
  </si>
  <si>
    <t xml:space="preserve">Datos de OpenTable (EE. UU.) · barras centrales en nuevos formatos (Bera, BCN)</t>
  </si>
  <si>
    <t xml:space="preserve">Reservas individuales +23 % en un año; gasto medio 94 $ frente a 60 $ por persona del total (OpenTable, jul. 2026).</t>
  </si>
  <si>
    <t xml:space="preserve">Mesas de 2 ocupadas por 1 = pérdida de capacidad; la barra resuelve y añade show cooking.</t>
  </si>
  <si>
    <t xml:space="preserve">Ticket individual alto, especialmente en bebida.</t>
  </si>
  <si>
    <t xml:space="preserve">Dato de EE. UU.; en España, señal en zonas de turismo y negocios.</t>
  </si>
  <si>
    <t xml:space="preserve">Emergente</t>
  </si>
  <si>
    <t xml:space="preserve">A · Dato (INT)</t>
  </si>
  <si>
    <t xml:space="preserve">A01 · A08</t>
  </si>
  <si>
    <t xml:space="preserve">A08 · ¿La distribución de sala (barra, mesas de 2) se ajusta al tamaño real de grupo que muestran las reservas?</t>
  </si>
  <si>
    <t xml:space="preserve">https://axios.com/2026/07/17/solo-dining-reservations-jump-opentable</t>
  </si>
  <si>
    <t xml:space="preserve">T10</t>
  </si>
  <si>
    <t xml:space="preserve">Salud, GLP-1 y menos cantidad</t>
  </si>
  <si>
    <t xml:space="preserve">Usuarios de fármacos GLP-1 y consumidores 'saludables' piden menos cantidad y más proteína; las cadenas adaptan porciones.</t>
  </si>
  <si>
    <t xml:space="preserve">Expansión de los fármacos para la pérdida de peso en EE. UU., Reino Unido y Australia; cultura del bienestar.</t>
  </si>
  <si>
    <t xml:space="preserve">Chipotle, Subway, Starbucks, Smoothie King (EE. UU.) · LEON (Reino Unido)</t>
  </si>
  <si>
    <t xml:space="preserve">INT</t>
  </si>
  <si>
    <t xml:space="preserve">Usuarios de GLP-1 gastan un 63 % menos en restaurantes (KPMG, mar. 2025); 35 % de los clientes pidió raciones más pequeñas por salud (Circana).</t>
  </si>
  <si>
    <t xml:space="preserve">Más formatos de ración → más SKU en la ficha técnica si no se diseña con gramajes escalables.</t>
  </si>
  <si>
    <t xml:space="preserve">Menor gasto en comida; se compensa con bebida sin alcohol premium y precio por formato.</t>
  </si>
  <si>
    <t xml:space="preserve">Penetración aún menor en España; conviene vigilar.</t>
  </si>
  <si>
    <t xml:space="preserve">A02 · A09</t>
  </si>
  <si>
    <t xml:space="preserve">A09 · ¿Las fichas técnicas recogen gramaje y coste por cada formato de ración que se vende?</t>
  </si>
  <si>
    <t xml:space="preserve">https://qsrmedia.com/research/in-focus/restaurants-shrink-menus-more-households-use-glp-1 | https://www.axios.com/2026/01/07/restaurant-menu-high-protein-dunkin-subway-chipotle</t>
  </si>
  <si>
    <t xml:space="preserve">T11</t>
  </si>
  <si>
    <t xml:space="preserve">Operaciones</t>
  </si>
  <si>
    <t xml:space="preserve">Falta de equipos cualificados → cocinas diseñadas para la plantilla real</t>
  </si>
  <si>
    <t xml:space="preserve">La falta de personal formado es el principal desafío declarado; la respuesta es simplificar procesos, estandarizar y formar con fichas.</t>
  </si>
  <si>
    <t xml:space="preserve">Rotación, salarios, condiciones; demanda constante de cocineros y ayudantes.</t>
  </si>
  <si>
    <t xml:space="preserve">Fenómeno sectorial (barómetro HIP; guía Adecco).</t>
  </si>
  <si>
    <t xml:space="preserve">ESP · BCN</t>
  </si>
  <si>
    <t xml:space="preserve">34 % de hosteleros: la falta de equipos preparados es su principal desafío en 2026 (HIP, mar. 2026). Barcelona, entre las zonas con más contratación prevista (+10 % interanual, Adecco).</t>
  </si>
  <si>
    <t xml:space="preserve">Cartas con ICP alto se vuelven inejecutables si falta una persona clave.</t>
  </si>
  <si>
    <t xml:space="preserve">Horas extra, errores y mermas cuando falta personal; coste de rotación.</t>
  </si>
  <si>
    <t xml:space="preserve">Dato nacional y local.</t>
  </si>
  <si>
    <t xml:space="preserve">A07 · A09 · A10</t>
  </si>
  <si>
    <t xml:space="preserve">A07 · ¿Cuántas horas de formación necesita una nueva incorporación para ejecutar cada partida con las fichas?</t>
  </si>
  <si>
    <t xml:space="preserve">https://www.vinetur.com/amp/2026031297440/un-tercio-de-los-hosteleros-espanoles-planea-abrir-nuevos-locales-en-2026-pese-al-impacto-de-la-inflacion.html | https://www.adeccogroup.com/-/media/project/adecco-group/adeccogroup/spain-content/2026-press-releases/2026-03-09-ndp-v-guia-salarial-adecco-hosteleria-turismo-2026.pdf</t>
  </si>
  <si>
    <t xml:space="preserve">T12</t>
  </si>
  <si>
    <t xml:space="preserve">Producción centralizada (cocina central / obrador)</t>
  </si>
  <si>
    <t xml:space="preserve">Grupos y cadenas concentran la producción en una cocina central y los locales regeneran y terminan.</t>
  </si>
  <si>
    <t xml:space="preserve">Estandarización, menos metros y menos personal cualificado en cada local, compras a escala.</t>
  </si>
  <si>
    <t xml:space="preserve">Cal Blay (3 M€, cocina central de 4.000 m², capacidad de 6 M platos/año, 2026) · 365 Obrador (obrador central en L'Hospitalet para su red de panaderías-cafetería)</t>
  </si>
  <si>
    <t xml:space="preserve">BCN</t>
  </si>
  <si>
    <t xml:space="preserve">Cal Blay pasa de 2 a 6 millones de platos de capacidad (Diari de Tarragona, jul. 2026).</t>
  </si>
  <si>
    <t xml:space="preserve">Mise en place en el local cae drásticamente; aparecen logística, APPCC de regeneración y control de lotes.</t>
  </si>
  <si>
    <t xml:space="preserve">Baja coste laboral por local; sube inversión fija; solo compensa a partir de cierto número de locales.</t>
  </si>
  <si>
    <t xml:space="preserve">Alta para grupos con 3+ locales; baja para el restaurante independiente.</t>
  </si>
  <si>
    <t xml:space="preserve">A07 · A08 · A09</t>
  </si>
  <si>
    <t xml:space="preserve">A07 · Si hay varios locales, ¿se ha evaluado qué elaboraciones transversales (T9) podrían centralizarse?</t>
  </si>
  <si>
    <t xml:space="preserve">https://www.diaridetarragona.com/contenidos-empresariales/266443/cal-blay-inverteix-3-milions-d-euros-nova-cuina-central-i-magatzem-logistic_amp.html | https://www.alimarket.es/restauracion/noticia/372854/365-obrador-se-estrena-en-manresa</t>
  </si>
  <si>
    <t xml:space="preserve">T13</t>
  </si>
  <si>
    <t xml:space="preserve">Rentabilidad</t>
  </si>
  <si>
    <t xml:space="preserve">Costes en tensión y subidas de precio selectivas</t>
  </si>
  <si>
    <t xml:space="preserve">El coste operativo es el factor que más pesa; un tercio subirá precios y casi la mitad intentará recortar costes.</t>
  </si>
  <si>
    <t xml:space="preserve">Inflación acumulada, salarios, energía; materias primas volátiles (café caro; aceite de oliva a la baja en origen en 2026).</t>
  </si>
  <si>
    <t xml:space="preserve">Fenómeno sectorial (barómetro HIP; Anuario Hostelería de España).</t>
  </si>
  <si>
    <t xml:space="preserve">40,5 % señala costes operativos como lo que más le afectó; 34 % subirá precios; 44,8 % reducirá costes (HIP, mar. 2026). AOVE en origen 4,04 €/kg (mayo 2026, COAG).</t>
  </si>
  <si>
    <t xml:space="preserve">Riesgo de 'recorte de escandallo' que deteriore el producto.</t>
  </si>
  <si>
    <t xml:space="preserve">Escandallos desactualizados = margen ficticio; las bajadas (aceite) también hay que trasladarlas al escandallo.</t>
  </si>
  <si>
    <t xml:space="preserve">A04 · A05</t>
  </si>
  <si>
    <t xml:space="preserve">C3</t>
  </si>
  <si>
    <t xml:space="preserve">A05 · ¿Hay un disparador de revisión de escandallos (p. ej., variación &gt; 5 % en un producto del top-20 de gasto)?</t>
  </si>
  <si>
    <t xml:space="preserve">https://www.vinetur.com/amp/2026031297440/un-tercio-de-los-hosteleros-espanoles-planea-abrir-nuevos-locales-en-2026-pese-al-impacto-de-la-inflacion.html | https://www.agronewscastillayleon.com/caida-precio-aceite-oliva-aove-coag-mayo-2026 | https://otea.es/wp-content/uploads/2025/12/ANUARIO-HOSTELERIA-2025.pdf</t>
  </si>
  <si>
    <t xml:space="preserve">T14</t>
  </si>
  <si>
    <t xml:space="preserve">El menú del día al límite del margen</t>
  </si>
  <si>
    <t xml:space="preserve">El menú sigue vendiendo pero con margen mínimo; algunos locales lo suben, otros lo eliminan.</t>
  </si>
  <si>
    <t xml:space="preserve">Costes laborales, alquileres e impuestos frente a un precio psicológico (≈14–15 €).</t>
  </si>
  <si>
    <t xml:space="preserve">Transatlàntic (Born, 14,50 €, ≈1,50 € de beneficio por menú) · Bar But (15 €) · Santa Magdalena (Gràcia, 19,50 €) · Agullers (no hace menú)</t>
  </si>
  <si>
    <t xml:space="preserve">BCN · MAD</t>
  </si>
  <si>
    <t xml:space="preserve">Menú medio ≈14 € en España; BCN 15,10 €, MAD 14,80 € (Hostelería de España, 2024). Transatlàntic: ≈1,50 € de beneficio por menú.</t>
  </si>
  <si>
    <t xml:space="preserve">Producción de alto volumen y bajo margen que compite con la carta por recursos de cocina.</t>
  </si>
  <si>
    <t xml:space="preserve">Debe tratarse como plato gancho medido: o atrae tráfico rentable o es una fuga.</t>
  </si>
  <si>
    <t xml:space="preserve">Formato muy español; muy relevante en clientes de TBNB con mediodía.</t>
  </si>
  <si>
    <t xml:space="preserve">A02 · A05</t>
  </si>
  <si>
    <t xml:space="preserve">A05 · ¿El menú del día tiene escandallo propio y se conoce su margen por cubierto frente al de la carta?</t>
  </si>
  <si>
    <t xml:space="preserve">https://www.timeout.es/barcelona/es/noticias/agoniza-el-menu-de-mediodia-en-barcelona-032225</t>
  </si>
  <si>
    <t xml:space="preserve">T15</t>
  </si>
  <si>
    <t xml:space="preserve">Reserva con garantía y prepago contra los no-shows</t>
  </si>
  <si>
    <t xml:space="preserve">Tarjeta en garantía, preautorización o prepago total pasan a ser estándar, sobre todo en alta demanda.</t>
  </si>
  <si>
    <t xml:space="preserve">Cada mesa vacía es margen perdido con coste ya incurrido (personal y mise en place).</t>
  </si>
  <si>
    <t xml:space="preserve">Aponiente (Ángel León, prepago con CoverManager) · TheFork (preautorización, expulsión tras 4 no-shows en 12 meses)</t>
  </si>
  <si>
    <t xml:space="preserve">No-shows en TheFork &lt; 3,4 % mensual (ene.–jul. 2025); pérdidas de 5–20 % en restaurantes afectados. Aponiente: de 12–18 % a −94 % con prepago (CoverManager).</t>
  </si>
  <si>
    <t xml:space="preserve">Previsión de cubiertos fiable → mise en place ajustada, menos sobreproducción.</t>
  </si>
  <si>
    <t xml:space="preserve">Recupera cubiertos perdidos y reduce merma por sobreproducción.</t>
  </si>
  <si>
    <t xml:space="preserve">Herramientas españolas maduras (CoverManager, TheFork).</t>
  </si>
  <si>
    <t xml:space="preserve">A06 · A07</t>
  </si>
  <si>
    <t xml:space="preserve">A07 · ¿Se mide la tasa de no-show y se usa la previsión de reservas para dimensionar la producción del día?</t>
  </si>
  <si>
    <t xml:space="preserve">https://www.vinetur.com/2025081290379/las-reservas-fantasma-afectan-a-los-restaurantes-espanoles-pese-a-la-reduccion-de-no-shows-este-verano.html | https://www.covermanager.com/en/customers/aponiente-no-shows</t>
  </si>
  <si>
    <t xml:space="preserve">T16</t>
  </si>
  <si>
    <t xml:space="preserve">Precio por franja horaria (dinámico 'suave')</t>
  </si>
  <si>
    <t xml:space="preserve">En lugar de subir en punta, se incentiva la hora valle: happy hour, menú de tarde, descuentos a primera hora.</t>
  </si>
  <si>
    <t xml:space="preserve">Llenar horas muertas sobre costes fijos; el cliente acepta descuentos, rechaza recargos.</t>
  </si>
  <si>
    <t xml:space="preserve">Wendy's (EE. UU., 2024) tuvo que aclarar que solo aplicaría descuentos en hora valle tras la polémica · descuentos por franja en plataformas de reserva</t>
  </si>
  <si>
    <t xml:space="preserve">INT · ESP</t>
  </si>
  <si>
    <t xml:space="preserve">53 % de los españoles iría en horas de menos afluencia si fuera más barato (AECOC, may. 2026). 64 % reacciona mal al 'surge pricing' (encuesta 2024, EE. UU.).</t>
  </si>
  <si>
    <t xml:space="preserve">Distribuye la carga y reduce picos de saturación.</t>
  </si>
  <si>
    <t xml:space="preserve">Más ocupación en valle; riesgo de canibalizar si se aplica en franjas que ya se llenan.</t>
  </si>
  <si>
    <t xml:space="preserve">Encaja con happy hour y tardeo; los recargos en punta tendrían rechazo.</t>
  </si>
  <si>
    <t xml:space="preserve">A02 · ¿Se conoce la ocupación por franja y existe una oferta específica para las franjas valle?</t>
  </si>
  <si>
    <t xml:space="preserve">https://www.bolsamania.com/noticias/empresas/economia--el-66-de-los-espanoles-sale-a-bares-y-restaurantes-igual-o-mas-que-hace-un-ano-impulsado-por-los-jovenes--22469129.html | https://beancount.io/blog/2026/09/08/surge-pricing-backlash-dynamic-pricing-restaurants-retailers-guide</t>
  </si>
  <si>
    <t xml:space="preserve">T17</t>
  </si>
  <si>
    <t xml:space="preserve">Tecnología</t>
  </si>
  <si>
    <t xml:space="preserve">IA para análisis de datos, compras y stock</t>
  </si>
  <si>
    <t xml:space="preserve">La inversión tecnológica prevista se dirige sobre todo a IA para analizar datos, automatizar compras y stock y fidelizar.</t>
  </si>
  <si>
    <t xml:space="preserve">Presión de costes; datos del TPV infrautilizados; mercado de soluciones saturado y poco integrado.</t>
  </si>
  <si>
    <t xml:space="preserve">Fenómeno sectorial (barómetro HIP). Proveedores en España: CoverManager, TheFork, Cegid Revo, Qamarero, etc.</t>
  </si>
  <si>
    <t xml:space="preserve">De quienes invertirán en tecnología: 44,8 % en IA para análisis de datos, 29,5 % en stock/compras automatizadas, 28,7 % en CRM (HIP, mar. 2026).</t>
  </si>
  <si>
    <t xml:space="preserve">Previsión de ventas y pedido sugerido sustituyen al pedido 'a ojo'.</t>
  </si>
  <si>
    <t xml:space="preserve">Menos rotura y menos sobrestock; depende de que los datos de base (escandallos, inventario) existan.</t>
  </si>
  <si>
    <t xml:space="preserve">Intención declarada alta; ejecución real aún inicial.</t>
  </si>
  <si>
    <t xml:space="preserve">A04 · A05 · A07</t>
  </si>
  <si>
    <t xml:space="preserve">A04 · ¿El pedido se apoya en datos del TPV (previsión, stock mínimo/máximo) y los sistemas de TPV, inventario y escandallos están integrados?</t>
  </si>
  <si>
    <t xml:space="preserve">https://www.vinetur.com/amp/2026031297440/un-tercio-de-los-hosteleros-espanoles-planea-abrir-nuevos-locales-en-2026-pese-al-impacto-de-la-inflacion.html | https://www.alimarket.es/restauracion/noticia_amp/390115/el-sector-de-la-restauracion-se-apoya-en-la-inteligencia-artificial</t>
  </si>
  <si>
    <t xml:space="preserve">T18</t>
  </si>
  <si>
    <t xml:space="preserve">Medición automática de mermas con visión artificial</t>
  </si>
  <si>
    <t xml:space="preserve">Cámaras y básculas sobre el cubo identifican qué se tira, cuánto y cuándo.</t>
  </si>
  <si>
    <t xml:space="preserve">La merma es invisible sin medición; la Ley 1/2025 exige un plan de prevención.</t>
  </si>
  <si>
    <t xml:space="preserve">Orbisk (Países Bajos; reconoce ≈1.000 ingredientes) · Hyatt Regency Baku (−37 % según caso de Orbisk) · Winnow, Leanpath (otros proveedores)</t>
  </si>
  <si>
    <t xml:space="preserve">Orbisk declara hasta −70 % de merma previa al consumo; suscripción de 6.000–10.000 $/año (IFT).</t>
  </si>
  <si>
    <t xml:space="preserve">Registro continuo sin depender de la disciplina del equipo.</t>
  </si>
  <si>
    <t xml:space="preserve">Coste de suscripción solo justificable en volumen alto (hoteles, colectividades, grupos).</t>
  </si>
  <si>
    <t xml:space="preserve">Coste alto para el independiente; el registro manual T5 cumple el mismo objetivo.</t>
  </si>
  <si>
    <t xml:space="preserve">B · Casos (dato del proveedor)</t>
  </si>
  <si>
    <t xml:space="preserve">A06</t>
  </si>
  <si>
    <t xml:space="preserve">A06 · ¿El registro de mermas es continuo (no solo durante la auditoría) y alimenta el plan de prevención de la Ley 1/2025?</t>
  </si>
  <si>
    <t xml:space="preserve">https://ift.org/news-and-publications/digital-exclusives/ai-helps-restaurants-reduce-waste | https://orbisk.com/?p=25546816</t>
  </si>
  <si>
    <t xml:space="preserve">T19</t>
  </si>
  <si>
    <t xml:space="preserve">TPV certificado y facturación electrónica (Verifactu)</t>
  </si>
  <si>
    <t xml:space="preserve">Los sistemas de facturación deberán cumplir Verifactu; el TPV pasa a ser la fuente única y fiable de datos de venta.</t>
  </si>
  <si>
    <t xml:space="preserve">Normativa antifraude y factura electrónica B2B.</t>
  </si>
  <si>
    <t xml:space="preserve">Todos los restaurantes con TPV.</t>
  </si>
  <si>
    <t xml:space="preserve">Reglamento vigente: 1-ene-2027 sociedades y 1-jul-2027 resto; Hacienda ha anunciado un nuevo aplazamiento a oct. 2028 (pendiente de norma, oct. 2026). Factura electrónica B2B: Orden HAC/1028/2026.</t>
  </si>
  <si>
    <t xml:space="preserve">Obliga a revisar TPV y procesos de caja; invitaciones y anulaciones quedan registradas.</t>
  </si>
  <si>
    <t xml:space="preserve">Mejora el dato para ingeniería de menú; afloran consumos no registrados.</t>
  </si>
  <si>
    <t xml:space="preserve">Obligación legal (fecha en revisión).</t>
  </si>
  <si>
    <t xml:space="preserve">A05</t>
  </si>
  <si>
    <t xml:space="preserve">A05 · ¿El TPV registra invitaciones, anulaciones y consumo de personal con motivo, y permite exportar ventas por plato?</t>
  </si>
  <si>
    <t xml:space="preserve">https://qamarero.com/blog/verifactu-retraso-octubre-2028/ | https://www.legaltoday.com/actualidad-juridica/noticias-de-derecho/nueva-prorroga-verifactu-no-sera-obligatorio-hasta-2027-para-sociedades-y-otros-contribuyentes-2025-12-04/</t>
  </si>
  <si>
    <t xml:space="preserve">T20</t>
  </si>
  <si>
    <t xml:space="preserve">Sostenibilidad</t>
  </si>
  <si>
    <t xml:space="preserve">Ley 1/2025 de desperdicio alimentario en vigor</t>
  </si>
  <si>
    <t xml:space="preserve">Desde el 3-abr-2026: plan de prevención del desperdicio, ofrecer gratis llevarse lo no consumido en envase apto y medidas de prevención; raciones flexibles como buena práctica.</t>
  </si>
  <si>
    <t xml:space="preserve">Obligación legal con régimen sancionador.</t>
  </si>
  <si>
    <t xml:space="preserve">Todos los establecimientos de hostelería (verificar ámbito de exención para microempresas en el BOE).</t>
  </si>
  <si>
    <t xml:space="preserve">Infracción grave desde 2.001 €; reincidencia hasta 500.000 € (El Español, may. 2026).</t>
  </si>
  <si>
    <t xml:space="preserve">Envases, registro de mermas, protocolo de donación o reaprovechamiento.</t>
  </si>
  <si>
    <t xml:space="preserve">Coste de envase; a cambio, la medición de mermas destapa ahorro.</t>
  </si>
  <si>
    <t xml:space="preserve">Obligatoria.</t>
  </si>
  <si>
    <t xml:space="preserve">A06 · ¿El plan de prevención existe por escrito, tiene responsable y se revisa con datos del registro de mermas? (ya en A06.09–10; actualizar con fecha de vigor y sanciones)</t>
  </si>
  <si>
    <t xml:space="preserve">https://www.elespanol.com/sociedad/20260509/espana-cambia-normas-bares-restaurantes-deberan-ofrecer-raciones-pequenas-entregar-sobras-gratis/1003744237215_0.html | https://www.fieldfisher.com/es-es/locations/espana/actualidad/ley-de-prevencion-de-las-perdidas-y-el-desperdicio-alimentario</t>
  </si>
  <si>
    <t xml:space="preserve">T21</t>
  </si>
  <si>
    <t xml:space="preserve">De distintivo verde a gestión medible</t>
  </si>
  <si>
    <t xml:space="preserve">Michelin elimina la Estrella Verde (vigente hasta la gala de noviembre de 2026) y la sustituye por 'Mindful Voices', que reconoce personas; la sostenibilidad pasa del sello a la operación.</t>
  </si>
  <si>
    <t xml:space="preserve">Distintivo 'amortizado' y confuso para el cliente; la normativa (Ley 7/2022, Ley 1/2025) ya fija mínimos.</t>
  </si>
  <si>
    <t xml:space="preserve">59 restaurantes con Estrella Verde en España, 15 en Cataluña · Paradiso (BCN) con laboratorio propio enfocado a sostenibilidad</t>
  </si>
  <si>
    <t xml:space="preserve">ESP · BCN · INT</t>
  </si>
  <si>
    <t xml:space="preserve">Anuncio de Michelin del 20-may-2026 (Ara).</t>
  </si>
  <si>
    <t xml:space="preserve">Lo que cuenta es lo medible: mermas, energía, origen demostrable con facturas.</t>
  </si>
  <si>
    <t xml:space="preserve">El ahorro de recursos es la parte de la sostenibilidad que se ve en la cuenta de resultados.</t>
  </si>
  <si>
    <t xml:space="preserve">Afecta directamente al relato de restaurantes catalanes premiados.</t>
  </si>
  <si>
    <t xml:space="preserve">A01 · A03 · A04</t>
  </si>
  <si>
    <t xml:space="preserve">A03 · Si el relato incluye sostenibilidad, ¿hay indicadores que lo demuestren (merma €/año, % proveedores de proximidad con factura)?</t>
  </si>
  <si>
    <t xml:space="preserve">https://es.ara.cat/comer/michelin-deshace-definitivamente-estrellas-verdes-catalunya-perdera-15-partir-noviembre_1_5743021.html | https://portal-cec.consumo.gob.es/es/comunicacion/noticias/2022/nueva-norma-que-garantiza-agua-de-grifo-gratis-en-hosteleria-y-reduce-el</t>
  </si>
  <si>
    <t xml:space="preserve">T22</t>
  </si>
  <si>
    <t xml:space="preserve">Bebidas</t>
  </si>
  <si>
    <t xml:space="preserve">Sin y bajo alcohol con elaboración propia</t>
  </si>
  <si>
    <t xml:space="preserve">Crecen el vino y la cerveza sin alcohol y los espirituosos 0,0; la alta cocina crea maridajes sin alcohol con fermentados, tés y zumos.</t>
  </si>
  <si>
    <t xml:space="preserve">Salud, conducción, generación Z que bebe menos, usuarios de GLP-1.</t>
  </si>
  <si>
    <t xml:space="preserve">Mont Bar (2* Michelin, BCN: maridaje 0,0 de 10 bebidas, 95 €) · Disfrutar (vinos desalcoholizados) · Virens / El Invernadero (Rodrigo de la Calle: kombucha de remolacha, kéfir de manzana)</t>
  </si>
  <si>
    <t xml:space="preserve">BCN · MAD · ESP</t>
  </si>
  <si>
    <t xml:space="preserve">Vino sin/bajo alcohol: +35 % en gasto en un año, +66,6 % en tres; cerveza 0,0: 252 M€ (+6,3 %); espirituosos sin alcohol +64 % en volumen 2021–2024 (Circana/FEE, nov. 2025).</t>
  </si>
  <si>
    <t xml:space="preserve">Nueva partida de elaboración (fermentados, infusiones) con su mise en place, caducidades y APPCC.</t>
  </si>
  <si>
    <t xml:space="preserve">Margen alto si se elabora; cubre el gasto que el cliente ya no hace en vino.</t>
  </si>
  <si>
    <t xml:space="preserve">Dato nacional y casos en BCN.</t>
  </si>
  <si>
    <t xml:space="preserve">Nueva área Bebidas · A07 · A09</t>
  </si>
  <si>
    <t xml:space="preserve">BEBIDAS · ¿La oferta sin alcohol tiene precio, escandallo y ficha técnica propios, con margen comparable al vino por copa?</t>
  </si>
  <si>
    <t xml:space="preserve">https://www.vinetur.com/2025111893430/el-consumo-de-bebidas-sin-o-bajas-en-alcohol-crece-un-66-en-tres-anos-en-espana.html | https://www.timeout.es/barcelona/es/noticias/un-restaurante-de-barcelona-con-dos-estrellas-michelin-ofrece-un-maridaje-sin-alcohol-061626 | https://es.ara.cat/comer/chalar-alcohol-restaurantes-buena-oferta-bebidas-0-0_1_5477357.html</t>
  </si>
  <si>
    <t xml:space="preserve">T23</t>
  </si>
  <si>
    <t xml:space="preserve">Barcelona, capital de la coctelería de autor</t>
  </si>
  <si>
    <t xml:space="preserve">Dos bares de BCN en el top 5 mundial; coctelería como experiencia y destino, con laboratorio propio.</t>
  </si>
  <si>
    <t xml:space="preserve">Turismo gastronómico, 'ocasión' de salida que sustituye a la cena larga, alto margen de la bebida.</t>
  </si>
  <si>
    <t xml:space="preserve">Sips (3.º, Eixample) · Paradiso (4.º, Born) · Salmon Guru (37.º, Madrid) · The World's 50 Best Bars 2025</t>
  </si>
  <si>
    <t xml:space="preserve">Sips n.º 3 y Paradiso n.º 4 del mundo (oct. 2025).</t>
  </si>
  <si>
    <t xml:space="preserve">Barra con preelaboraciones (cordiales, clarificados) = mise en place de cocina.</t>
  </si>
  <si>
    <t xml:space="preserve">El cóctel bien escandallado tiene margen superior al plato; la bebida sostiene el ticket.</t>
  </si>
  <si>
    <t xml:space="preserve">Referencia directa en BCN para clientes de TBNB con barra.</t>
  </si>
  <si>
    <t xml:space="preserve">Nueva área Bebidas</t>
  </si>
  <si>
    <t xml:space="preserve">BEBIDAS · ¿Existen escandallos y fichas de los cócteles y preelaboraciones de barra, y se cruzan con ventas (ingeniería de carta de bebidas)?</t>
  </si>
  <si>
    <t xml:space="preserve">https://www.catalannews.com/life-style/item/barcelona-sips-paradiso-bars-best-worldwide-9-october-2025</t>
  </si>
  <si>
    <t xml:space="preserve">T24</t>
  </si>
  <si>
    <t xml:space="preserve">Vino por copa ampliado</t>
  </si>
  <si>
    <t xml:space="preserve">Sistemas de conservación (Coravin, gas inerte) permiten vender por copa vinos de gama alta sin abrir la botella.</t>
  </si>
  <si>
    <t xml:space="preserve">El cliente bebe menos cantidad pero quiere calidad; reduce la merma de botella abierta.</t>
  </si>
  <si>
    <t xml:space="preserve">Restaurantes de alta cocina y bares de vino; 'Guía Coravin' de locales (sept. 2026)</t>
  </si>
  <si>
    <t xml:space="preserve">Afirmaciones del sector de hasta +248 % en ventas por copa (Vinetur; dato no verificado).</t>
  </si>
  <si>
    <t xml:space="preserve">Control de botellas abiertas y rotación.</t>
  </si>
  <si>
    <t xml:space="preserve">Margen por copa superior al de la botella; menos merma.</t>
  </si>
  <si>
    <t xml:space="preserve">Fácil de implantar; inversión baja.</t>
  </si>
  <si>
    <t xml:space="preserve">Nueva área Bebidas · A06</t>
  </si>
  <si>
    <t xml:space="preserve">BEBIDAS · ¿Se registra la merma de vino por copa (botellas abiertas desechadas) y se controla la rotación de referencias?</t>
  </si>
  <si>
    <t xml:space="preserve">https://www.vinetur.com/2025090190757/coravin-la-revolucion-silenciosa-del-vino-por-copa.html | https://www.vinetur.com/20260917107323/nace-la-guia-coravin-el-nuevo-mapa-digital-que-revoluciona-el-servicio-de-vino-por-copas.html</t>
  </si>
  <si>
    <t xml:space="preserve">T25</t>
  </si>
  <si>
    <t xml:space="preserve">Café de especialidad y matcha</t>
  </si>
  <si>
    <t xml:space="preserve">Crecen las cafeterías de marca y de especialidad; el matcha se dispara con riesgo de escasez; el café verde se encarece.</t>
  </si>
  <si>
    <t xml:space="preserve">Generación Z que sustituye la copa por el café; redes sociales; materia prima cara y volátil.</t>
  </si>
  <si>
    <t xml:space="preserve">Nomad Coffee (BCN) · Santagloria (165 locales, +34) · Starbucks, McCafé · %Arabica y Juan Valdez (expansión en España)</t>
  </si>
  <si>
    <t xml:space="preserve">2.215 cafeterías de marca en España (+3 %, abr. 2025, Project Café). Importación de café verde: +33 % en valor con +12 % en volumen (2024, Mercasa).</t>
  </si>
  <si>
    <t xml:space="preserve">Producción por lotes del matcha en volumen; formación de baristas (perfil escaso).</t>
  </si>
  <si>
    <t xml:space="preserve">Precio de taza al alza; coste de materia prima volátil; hay que escandallar el café, no darlo por supuesto.</t>
  </si>
  <si>
    <t xml:space="preserve">Mercado aún no saturado según el sector.</t>
  </si>
  <si>
    <t xml:space="preserve">Nueva área Bebidas · A03 · A05</t>
  </si>
  <si>
    <t xml:space="preserve">A03/BEBIDAS · ¿El café está escandallado con el precio actual y su calidad es coherente con el concepto? (amplía A03.09)</t>
  </si>
  <si>
    <t xml:space="preserve">https://perfectdailygrind.com/es/2026/02/14/mercado-espanol-del-cafe-de-especialidad/ | https://perfectdailygrind.com/es/2026/08/29/cual-es-problema-con-matcha/ | https://www.mercasa.es/wp-content/uploads/2026/02/Cafe.pdf</t>
  </si>
  <si>
    <t xml:space="preserve">T26</t>
  </si>
  <si>
    <t xml:space="preserve">Nuevos formatos</t>
  </si>
  <si>
    <t xml:space="preserve">Food halls y mercados gastronómicos</t>
  </si>
  <si>
    <t xml:space="preserve">Espacios con varios operadores y zonas comunes; en Reino Unido se habla de 'resurgimiento'.</t>
  </si>
  <si>
    <t xml:space="preserve">Variedad para grupos, menor inversión por operador, tráfico de turismo.</t>
  </si>
  <si>
    <t xml:space="preserve">Time Out Market Barcelona (Maremagnum, 14 cocinas) · El Nacional (BCN) · Galería Canalejas (MAD, ≈4.000 m², 30 bares y restaurantes) · Mercado de San Miguel (MAD)</t>
  </si>
  <si>
    <t xml:space="preserve">BCN · MAD · INT</t>
  </si>
  <si>
    <t xml:space="preserve">≈133 food halls en Europa (+50 % desde 2017); 8 en España (Cushman &amp; Wakefield, 2024).</t>
  </si>
  <si>
    <t xml:space="preserve">Puesto con pocos metros y equipo mínimo → carta ultracorta, producción previa fuera.</t>
  </si>
  <si>
    <t xml:space="preserve">Alquiler/canon y comisión del operador; ticket bajo y volumen alto.</t>
  </si>
  <si>
    <t xml:space="preserve">Mercado limitado a grandes ciudades y zonas turísticas.</t>
  </si>
  <si>
    <t xml:space="preserve">A08 · A10</t>
  </si>
  <si>
    <t xml:space="preserve">A10 · (Formato puesto/córner) ¿El ICP medio de la carta es compatible con los metros y el personal del puesto?</t>
  </si>
  <si>
    <t xml:space="preserve">https://brainsre.news/la-presencia-de-food-halls-en-europa-aumenta-un-50/ | https://www.restaurantonline.co.uk/Article/2026/07/20/11-trends-shaping-and-set-to-shape-the-restaurant-sector-in-2026/</t>
  </si>
  <si>
    <t xml:space="preserve">T27</t>
  </si>
  <si>
    <t xml:space="preserve">Panadería-cafetería con obrador (formato 'all day')</t>
  </si>
  <si>
    <t xml:space="preserve">Cadenas de panadería-cafetería de calidad crecen en red con obrador central y tiendas pequeñas; panaderías de autor con colas.</t>
  </si>
  <si>
    <t xml:space="preserve">Desayuno fuera de casa muy arraigado; ticket bajo y alta frecuencia; producto artesano visible.</t>
  </si>
  <si>
    <t xml:space="preserve">365 Obrador (BCN; objetivo de 20–25 aperturas/año) · Turris (BCN, entra en MAD en 2023) · Santagloria</t>
  </si>
  <si>
    <t xml:space="preserve">83 % de los trabajadores desayuna en bar o cafetería algún día laborable (AECOC, may. 2026).</t>
  </si>
  <si>
    <t xml:space="preserve">Obrador central, logística diaria, gestión de excedentes (Too Good To Go, donación).</t>
  </si>
  <si>
    <t xml:space="preserve">Merma diaria de pan y bollería = KPI crítico.</t>
  </si>
  <si>
    <t xml:space="preserve">Formato en expansión con referentes locales.</t>
  </si>
  <si>
    <t xml:space="preserve">A06 · ¿Se mide la merma de producto del día (pan, bollería, vitrina) y existe destino planificado para el excedente?</t>
  </si>
  <si>
    <t xml:space="preserve">https://www.alimarket.es/restauracion/noticia/372854/365-obrador-se-estrena-en-manresa | https://www.alimarket.es/alimentacion/noticia_amp/393363/turris-avanza-en-su-incursion-en-madrid-y-se-consolida-en-barcelona | https://www.bolsamania.com/noticias/empresas/economia--el-66-de-los-espanoles-sale-a-bares-y-restaurantes-igual-o-mas-que-hace-un-ano-impulsado-por-los-jovenes--22469129.html</t>
  </si>
  <si>
    <t xml:space="preserve">T28</t>
  </si>
  <si>
    <t xml:space="preserve">Delivery: de la euforia a la madurez</t>
  </si>
  <si>
    <t xml:space="preserve">El delivery se estanca o crece poco tras el pico pospandemia; en España el consumo sigue siendo mayoritariamente en el local.</t>
  </si>
  <si>
    <t xml:space="preserve">Comisiones altas, precio final elevado para el cliente, preferencia por el servicio en mesa.</t>
  </si>
  <si>
    <t xml:space="preserve">Glovo (excluido de la compra de Delivery Hero por Uber, jul. 2026) · Just Eat · Uber Eats</t>
  </si>
  <si>
    <t xml:space="preserve">Food delivery 2.821 M€ (−4 %, Circana, feb. 2025); 75 % del gasto en restauración se hace en el local (64 % media europea); comisiones de plataforma del 15–30 % (El Español, jul. 2026).</t>
  </si>
  <si>
    <t xml:space="preserve">Platos que viajan mal y picos simultáneos sala + delivery saturan partidas.</t>
  </si>
  <si>
    <t xml:space="preserve">Con comisión del 15–30 %, un plato rentable en sala puede perder dinero en delivery.</t>
  </si>
  <si>
    <t xml:space="preserve">Relevante para cualquier cliente que tenga delivery.</t>
  </si>
  <si>
    <t xml:space="preserve">A05 · Si hay delivery, ¿existe escandallo por canal (comisión, envase) y precio diferenciado para ese canal?</t>
  </si>
  <si>
    <t xml:space="preserve">https://www.alimarket.es/restauracion/noticia_amp/401764/el-delivery-en-restauracion-continua-su-desarrollo | https://www.elespanol.com/invertia/empresas/distribucion/20260717/oferta-uber-glovo-anticipa-guerra-delivery-europeo-controlar-mercado-meur/1003744323699_0.html</t>
  </si>
  <si>
    <t xml:space="preserve">T29</t>
  </si>
  <si>
    <t xml:space="preserve">Regulación urbana de Barcelona: la licencia como activo</t>
  </si>
  <si>
    <t xml:space="preserve">El plan de usos de Ciutat Vella limita las nuevas licencias de bares y restaurantes por concentración, anchura de calle y dimensiones, y protege los establecimientos emblemáticos.</t>
  </si>
  <si>
    <t xml:space="preserve">Combatir el monocultivo turístico y proteger el comercio local.</t>
  </si>
  <si>
    <t xml:space="preserve">Ayuntamiento de Barcelona (plan de usos de Ciutat Vella, 2025) · establecimientos emblemáticos protegidos</t>
  </si>
  <si>
    <t xml:space="preserve">Solo afecta a nuevas licencias; los traspasos con licencia incorporada quedan fuera (Ara, jun. 2025).</t>
  </si>
  <si>
    <t xml:space="preserve">Reconvertir el local existente es más viable que abrir otro nuevo en zonas saturadas.</t>
  </si>
  <si>
    <t xml:space="preserve">La licencia se revaloriza; los cambios de concepto se hacen dentro del local que ya existe.</t>
  </si>
  <si>
    <t xml:space="preserve">Específico de BCN; muy relevante para clientes de TBNB.</t>
  </si>
  <si>
    <t xml:space="preserve">A08 · ¿El rediseño propuesto es compatible con la licencia y la actividad autorizada del local (humos, aforo, categoría)?</t>
  </si>
  <si>
    <t xml:space="preserve">https://es.ara.cat/sociedad/barcelona/ultimo-barcelona-combatir-monocultivo-turistico-comercio-ciutat-vella_1_5410794.html</t>
  </si>
  <si>
    <t xml:space="preserve">MAPA POR ÁREA DE INVESTIGACIÓN</t>
  </si>
  <si>
    <t xml:space="preserve">Automatizado – no tocar.</t>
  </si>
  <si>
    <t xml:space="preserve">Área</t>
  </si>
  <si>
    <t xml:space="preserve">Nº tendencias</t>
  </si>
  <si>
    <t xml:space="preserve">Aplicabilidad alta</t>
  </si>
  <si>
    <t xml:space="preserve">Prioritarias (≥ 6)</t>
  </si>
  <si>
    <t xml:space="preserve">Prioridad media</t>
  </si>
  <si>
    <t xml:space="preserve">Prioridad máx.</t>
  </si>
  <si>
    <t xml:space="preserve">TOTAL</t>
  </si>
  <si>
    <t xml:space="preserve">Mercado (contiene)</t>
  </si>
  <si>
    <t xml:space="preserve">TENDENCIAS POR PRIORIDAD TBNB</t>
  </si>
  <si>
    <t xml:space="preserve">Automatizado: ordena FICHAS por prioridad (desempate por orden de aparición).</t>
  </si>
  <si>
    <t xml:space="preserve">Rango</t>
  </si>
  <si>
    <t xml:space="preserve">Aplicabilidad</t>
  </si>
  <si>
    <t xml:space="preserve">Impacto</t>
  </si>
  <si>
    <t xml:space="preserve">Prioridad</t>
  </si>
  <si>
    <t xml:space="preserve">NEGOCIOS QUE SIRVEN DE EVIDENCIA</t>
  </si>
  <si>
    <t xml:space="preserve">Fuente de cada caso en la ficha de su tendencia (FICHAS, columna Fuentes).</t>
  </si>
  <si>
    <t xml:space="preserve">Negocio</t>
  </si>
  <si>
    <t xml:space="preserve">Ciudad</t>
  </si>
  <si>
    <t xml:space="preserve">Qué hace</t>
  </si>
  <si>
    <t xml:space="preserve">Dato</t>
  </si>
  <si>
    <t xml:space="preserve">Bera (Martín Berasategui)</t>
  </si>
  <si>
    <t xml:space="preserve">Barcelona</t>
  </si>
  <si>
    <t xml:space="preserve">Bar de tapas con barra central en el Hotel Monument; sustituye al estrella Michelin Oria</t>
  </si>
  <si>
    <t xml:space="preserve">≈50 €/persona</t>
  </si>
  <si>
    <t xml:space="preserve">Hélène Darroze at The Connaught</t>
  </si>
  <si>
    <t xml:space="preserve">Londres</t>
  </si>
  <si>
    <t xml:space="preserve">Triestrellado con carta de mediodía</t>
  </si>
  <si>
    <t xml:space="preserve">&lt;135 $ frente a ≈300 $ del menú</t>
  </si>
  <si>
    <t xml:space="preserve">Cardinal</t>
  </si>
  <si>
    <t xml:space="preserve">Edimburgo</t>
  </si>
  <si>
    <t xml:space="preserve">Estrella Michelin con 'Menú del Mercado' de 3 platos</t>
  </si>
  <si>
    <t xml:space="preserve">≈34 $</t>
  </si>
  <si>
    <t xml:space="preserve">El Campero</t>
  </si>
  <si>
    <t xml:space="preserve">Madrid</t>
  </si>
  <si>
    <t xml:space="preserve">Especialista en atún rojo de Barbate</t>
  </si>
  <si>
    <t xml:space="preserve">Apertura 2026</t>
  </si>
  <si>
    <t xml:space="preserve">Garelos</t>
  </si>
  <si>
    <t xml:space="preserve">T02 · T06</t>
  </si>
  <si>
    <t xml:space="preserve">Cocina gallega con presentación contemporánea</t>
  </si>
  <si>
    <t xml:space="preserve">Aleteo (Grupo Rocacho)</t>
  </si>
  <si>
    <t xml:space="preserve">Cocina de brasas: carnes, pescados y verduras</t>
  </si>
  <si>
    <t xml:space="preserve">Honest Greens</t>
  </si>
  <si>
    <t xml:space="preserve">BCN · MAD · Lisboa · Londres</t>
  </si>
  <si>
    <t xml:space="preserve">Fast casual mediterráneo con técnicas de fuego</t>
  </si>
  <si>
    <t xml:space="preserve">41 locales; Londres y París en 2026</t>
  </si>
  <si>
    <t xml:space="preserve">Virens / El Invernadero (Rodrigo de la Calle)</t>
  </si>
  <si>
    <t xml:space="preserve">Barcelona · Madrid</t>
  </si>
  <si>
    <t xml:space="preserve">T05 · T22</t>
  </si>
  <si>
    <t xml:space="preserve">Cocina vegetal y bebidas sin alcohol fermentadas propias</t>
  </si>
  <si>
    <t xml:space="preserve">—</t>
  </si>
  <si>
    <t xml:space="preserve">Chipotle</t>
  </si>
  <si>
    <t xml:space="preserve">EE. UU.</t>
  </si>
  <si>
    <t xml:space="preserve">T05 · T10</t>
  </si>
  <si>
    <t xml:space="preserve">High Protein Menu, platos 'GLP-1 friendly'</t>
  </si>
  <si>
    <t xml:space="preserve">Dic. 2025</t>
  </si>
  <si>
    <t xml:space="preserve">Obe</t>
  </si>
  <si>
    <t xml:space="preserve">Libanés con mezze para compartir</t>
  </si>
  <si>
    <t xml:space="preserve">Locales de tardeo de Madrid</t>
  </si>
  <si>
    <t xml:space="preserve">800 locales con tardeo</t>
  </si>
  <si>
    <t xml:space="preserve">26,3 % de la facturación; 45 € de gasto</t>
  </si>
  <si>
    <t xml:space="preserve">Transatlàntic</t>
  </si>
  <si>
    <t xml:space="preserve">Barcelona (Born)</t>
  </si>
  <si>
    <t xml:space="preserve">Menú del día de 14,50 €</t>
  </si>
  <si>
    <t xml:space="preserve">≈80 menús/día; ≈1,50 € de beneficio por menú</t>
  </si>
  <si>
    <t xml:space="preserve">Santa Magdalena</t>
  </si>
  <si>
    <t xml:space="preserve">Barcelona (Gràcia)</t>
  </si>
  <si>
    <t xml:space="preserve">Menú de 19,50 € sin subidas para fidelizar al barrio</t>
  </si>
  <si>
    <t xml:space="preserve">Agullers</t>
  </si>
  <si>
    <t xml:space="preserve">Renuncia al menú del día por calidad</t>
  </si>
  <si>
    <t xml:space="preserve">Aponiente (Ángel León)</t>
  </si>
  <si>
    <t xml:space="preserve">El Puerto de Santa María</t>
  </si>
  <si>
    <t xml:space="preserve">Prepago total con CoverManager</t>
  </si>
  <si>
    <t xml:space="preserve">No-shows de 12–18 % a −94 %</t>
  </si>
  <si>
    <t xml:space="preserve">TheFork</t>
  </si>
  <si>
    <t xml:space="preserve">España</t>
  </si>
  <si>
    <t xml:space="preserve">Preautorización con tarjeta y expulsión por reincidencia</t>
  </si>
  <si>
    <t xml:space="preserve">No-shows &lt; 3,4 % mensual</t>
  </si>
  <si>
    <t xml:space="preserve">Wendy's</t>
  </si>
  <si>
    <t xml:space="preserve">Retira la idea de subir precios en punta tras la polémica</t>
  </si>
  <si>
    <t xml:space="preserve">2024</t>
  </si>
  <si>
    <t xml:space="preserve">Orbisk (cliente Hyatt Regency Baku)</t>
  </si>
  <si>
    <t xml:space="preserve">Internacional</t>
  </si>
  <si>
    <t xml:space="preserve">Visión artificial sobre el cubo de merma</t>
  </si>
  <si>
    <t xml:space="preserve">−37 % de merma (dato del proveedor)</t>
  </si>
  <si>
    <t xml:space="preserve">Cal Blay</t>
  </si>
  <si>
    <t xml:space="preserve">Cataluña</t>
  </si>
  <si>
    <t xml:space="preserve">Nueva cocina central y almacén logístico</t>
  </si>
  <si>
    <t xml:space="preserve">3 M€; 4.000 m²; 6 M platos/año</t>
  </si>
  <si>
    <t xml:space="preserve">365 Obrador</t>
  </si>
  <si>
    <t xml:space="preserve">T12 · T27</t>
  </si>
  <si>
    <t xml:space="preserve">Red de panadería-cafetería con obrador central</t>
  </si>
  <si>
    <t xml:space="preserve">Objetivo de 20–25 aperturas/año</t>
  </si>
  <si>
    <t xml:space="preserve">Mont Bar</t>
  </si>
  <si>
    <t xml:space="preserve">Maridaje sin alcohol de 10 bebidas</t>
  </si>
  <si>
    <t xml:space="preserve">95 €</t>
  </si>
  <si>
    <t xml:space="preserve">Disfrutar</t>
  </si>
  <si>
    <t xml:space="preserve">Vinos desalcoholizados con técnica propia</t>
  </si>
  <si>
    <t xml:space="preserve">Desde 2020</t>
  </si>
  <si>
    <t xml:space="preserve">Sips</t>
  </si>
  <si>
    <t xml:space="preserve">Coctelería de autor</t>
  </si>
  <si>
    <t xml:space="preserve">N.º 3 del mundo (2025)</t>
  </si>
  <si>
    <t xml:space="preserve">Paradiso</t>
  </si>
  <si>
    <t xml:space="preserve">T23 · T21</t>
  </si>
  <si>
    <t xml:space="preserve">Coctelería multisensorial con laboratorio sostenible</t>
  </si>
  <si>
    <t xml:space="preserve">N.º 4 del mundo (2025)</t>
  </si>
  <si>
    <t xml:space="preserve">Salmon Guru</t>
  </si>
  <si>
    <t xml:space="preserve">N.º 37 del mundo (2025)</t>
  </si>
  <si>
    <t xml:space="preserve">Nomad Coffee</t>
  </si>
  <si>
    <t xml:space="preserve">Tostador y cafetería de especialidad</t>
  </si>
  <si>
    <t xml:space="preserve">Santagloria</t>
  </si>
  <si>
    <t xml:space="preserve">T25 · T27</t>
  </si>
  <si>
    <t xml:space="preserve">Cadena de cafetería-panadería</t>
  </si>
  <si>
    <t xml:space="preserve">165 locales (+34 en un año)</t>
  </si>
  <si>
    <t xml:space="preserve">Time Out Market Barcelona</t>
  </si>
  <si>
    <t xml:space="preserve">Food hall en Maremagnum</t>
  </si>
  <si>
    <t xml:space="preserve">14 cocinas</t>
  </si>
  <si>
    <t xml:space="preserve">Galería Canalejas</t>
  </si>
  <si>
    <t xml:space="preserve">Food hall de lujo</t>
  </si>
  <si>
    <t xml:space="preserve">≈4.000 m², 30 bares y restaurantes</t>
  </si>
  <si>
    <t xml:space="preserve">Turris</t>
  </si>
  <si>
    <t xml:space="preserve">Cadena de panaderías</t>
  </si>
  <si>
    <t xml:space="preserve">Entra en Madrid en 2023</t>
  </si>
  <si>
    <t xml:space="preserve">PREGUNTAS PROPUESTAS PARA LA AUDITORÍA v1.1</t>
  </si>
  <si>
    <t xml:space="preserve">Salen de las tendencias. Decidir en la semana 4 cuáles entran en la herramienta.</t>
  </si>
  <si>
    <t xml:space="preserve">Área de la auditoría</t>
  </si>
  <si>
    <t xml:space="preserve">Pregunta propuesta</t>
  </si>
  <si>
    <t xml:space="preserve">Decisión TBNB</t>
  </si>
  <si>
    <t xml:space="preserve">Comentario</t>
  </si>
  <si>
    <t xml:space="preserve">A01</t>
  </si>
  <si>
    <t xml:space="preserve">¿El formato (degustación, carta, barra) encaja con el ticket objetivo y con la frecuencia de visita que busca el concepto?</t>
  </si>
  <si>
    <t xml:space="preserve">A04</t>
  </si>
  <si>
    <t xml:space="preserve">¿Existe plan de contingencia si falla el proveedor del producto que define el concepto (precio, temporada, cupo)?</t>
  </si>
  <si>
    <t xml:space="preserve">A02</t>
  </si>
  <si>
    <t xml:space="preserve">¿La carta ofrece formatos de ración (media/entera) con precio y escandallo propios para cada formato?</t>
  </si>
  <si>
    <t xml:space="preserve">A08</t>
  </si>
  <si>
    <t xml:space="preserve">¿La capacidad de la parrilla/brasa cubre el % de ventas que pasa por ella en el pico, sin depender de una sola persona?</t>
  </si>
  <si>
    <t xml:space="preserve">¿La oferta vegetal y la de alto contenido proteico responden al cliente objetivo, o son platos de compromiso con baja venta?</t>
  </si>
  <si>
    <t xml:space="preserve">A03</t>
  </si>
  <si>
    <t xml:space="preserve">Si el concepto se presenta como 'auténtico' de un origen, ¿producto, técnica y equipo lo sostienen?</t>
  </si>
  <si>
    <t xml:space="preserve">A07</t>
  </si>
  <si>
    <t xml:space="preserve">¿Turnos y mise en place están dimensionados con la curva de ventas por franja horaria real (TPV), incluida la tarde?</t>
  </si>
  <si>
    <t xml:space="preserve">¿Se ha medido la relación calidad-precio percibida en reseñas (tema 'precio') y su evolución tras la última subida de carta?</t>
  </si>
  <si>
    <t xml:space="preserve">¿La distribución de sala (barra, mesas de 2) se ajusta al tamaño real de grupo que muestran las reservas?</t>
  </si>
  <si>
    <t xml:space="preserve">A09</t>
  </si>
  <si>
    <t xml:space="preserve">¿Las fichas técnicas recogen gramaje y coste por cada formato de ración que se vende?</t>
  </si>
  <si>
    <t xml:space="preserve">¿Cuántas horas de formación necesita una nueva incorporación para ejecutar cada partida con las fichas?</t>
  </si>
  <si>
    <t xml:space="preserve">Si hay varios locales, ¿se ha evaluado qué elaboraciones transversales (T9) podrían centralizarse?</t>
  </si>
  <si>
    <t xml:space="preserve">¿Hay un disparador de revisión de escandallos (p. ej., variación &gt; 5 % en un producto del top-20 de gasto)?</t>
  </si>
  <si>
    <t xml:space="preserve">¿El menú del día tiene escandallo propio y se conoce su margen por cubierto frente al de la carta?</t>
  </si>
  <si>
    <t xml:space="preserve">¿Se mide la tasa de no-show y se usa la previsión de reservas para dimensionar la producción del día?</t>
  </si>
  <si>
    <t xml:space="preserve">¿Se conoce la ocupación por franja y existe una oferta específica para las franjas valle?</t>
  </si>
  <si>
    <t xml:space="preserve">¿El pedido se apoya en datos del TPV (previsión, stock mínimo/máximo) y los sistemas de TPV, inventario y escandallos están integrados?</t>
  </si>
  <si>
    <t xml:space="preserve">¿El registro de mermas es continuo (no solo durante la auditoría) y alimenta el plan de prevención de la Ley 1/2025?</t>
  </si>
  <si>
    <t xml:space="preserve">¿El TPV registra invitaciones, anulaciones y consumo de personal con motivo, y permite exportar ventas por plato?</t>
  </si>
  <si>
    <t xml:space="preserve">¿El plan de prevención existe por escrito, tiene responsable y se revisa con datos del registro de mermas? (ya en A06.09–10; actualizar con fecha de vigor y sanciones)</t>
  </si>
  <si>
    <t xml:space="preserve">Si el relato incluye sostenibilidad, ¿hay indicadores que lo demuestren (merma €/año, % proveedores de proximidad con factura)?</t>
  </si>
  <si>
    <t xml:space="preserve">BEBIDAS</t>
  </si>
  <si>
    <t xml:space="preserve">¿La oferta sin alcohol tiene precio, escandallo y ficha técnica propios, con margen comparable al vino por copa?</t>
  </si>
  <si>
    <t xml:space="preserve">¿Existen escandallos y fichas de los cócteles y preelaboraciones de barra, y se cruzan con ventas (ingeniería de carta de bebidas)?</t>
  </si>
  <si>
    <t xml:space="preserve">¿Se registra la merma de vino por copa (botellas abiertas desechadas) y se controla la rotación de referencias?</t>
  </si>
  <si>
    <t xml:space="preserve">A03/BEBIDAS</t>
  </si>
  <si>
    <t xml:space="preserve">¿El café está escandallado con el precio actual y su calidad es coherente con el concepto? (amplía A03.09)</t>
  </si>
  <si>
    <t xml:space="preserve">A10</t>
  </si>
  <si>
    <t xml:space="preserve">(Formato puesto/córner) ¿El ICP medio de la carta es compatible con los metros y el personal del puesto?</t>
  </si>
  <si>
    <t xml:space="preserve">¿Se mide la merma de producto del día (pan, bollería, vitrina) y existe destino planificado para el excedente?</t>
  </si>
  <si>
    <t xml:space="preserve">Si hay delivery, ¿existe escandallo por canal (comisión, envase) y precio diferenciado para ese canal?</t>
  </si>
  <si>
    <t xml:space="preserve">¿El rediseño propuesto es compatible con la licencia y la actividad autorizada del local (humos, aforo, categoría)?</t>
  </si>
  <si>
    <t xml:space="preserve">Recuento</t>
  </si>
  <si>
    <t xml:space="preserve">Incluir</t>
  </si>
  <si>
    <t xml:space="preserve">Incluir con cambios</t>
  </si>
  <si>
    <t xml:space="preserve">Descartar</t>
  </si>
  <si>
    <t xml:space="preserve">Pendiente</t>
  </si>
  <si>
    <t xml:space="preserve">Nota: 4 preguntas apuntan a un área nueva de BEBIDAS, que la metodología v1.0 ya dejaba como siguiente paso (apartado 10).</t>
  </si>
  <si>
    <t xml:space="preserve">Consultadas el 8-oct-2026. Fecha de publicación indicada en cada ficha cuando se conoce.</t>
  </si>
  <si>
    <t xml:space="preserve">URL</t>
  </si>
  <si>
    <t xml:space="preserve">Usada en</t>
  </si>
  <si>
    <t xml:space="preserve">https://www.timeout.es/barcelona/es/noticias/el-chef-com-mas-estrellas-michelin-de-espana-y-el-tercero-del-mundo-abre-un-restaurante-asequible-en-barcelona-042026</t>
  </si>
  <si>
    <t xml:space="preserve">https://www.que.es/2026/07/26/martin-berasategui-cierra-estrella-michelin-tapas/</t>
  </si>
  <si>
    <t xml:space="preserve">https://www.forbesargentina.com/lifestyle/menus-mas-cortos-precios-accesibles-formula-alta-cocina-busca-nuevos-clientes-n96944</t>
  </si>
  <si>
    <t xml:space="preserve">T02 · T04 · T06</t>
  </si>
  <si>
    <t xml:space="preserve">https://www.bolsamania.com/noticias/empresas/economia--el-66-de-los-espanoles-sale-a-bares-y-restaurantes-igual-o-mas-que-hace-un-ano-impulsado-por-los-jovenes--22469129.html</t>
  </si>
  <si>
    <t xml:space="preserve">T03 · T07 · T08 · T16 · T27</t>
  </si>
  <si>
    <t xml:space="preserve">https://hospitality-on.com/fr/restauration/vers-une-rationalisation-des-menus-et-des-process-dans-la-restauration</t>
  </si>
  <si>
    <t xml:space="preserve">https://www.elespanol.com/sociedad/20260509/espana-cambia-normas-bares-restaurantes-deberan-ofrecer-raciones-pequenas-entregar-sobras-gratis/1003744237215_0.html</t>
  </si>
  <si>
    <t xml:space="preserve">T03 · T20</t>
  </si>
  <si>
    <t xml:space="preserve">https://www.hrc.co.uk/news/hg-announces-second-london-opening-victoria-uk-expansion-gathers-pace</t>
  </si>
  <si>
    <t xml:space="preserve">https://londontheinside.com/where-have-all-the-vegans-gone/</t>
  </si>
  <si>
    <t xml:space="preserve">https://www.axios.com/2026/01/07/restaurant-menu-high-protein-dunkin-subway-chipotle</t>
  </si>
  <si>
    <t xml:space="preserve">https://tastymondays.substack.com/p/la-invasion-coreana-llega-a-barcelona</t>
  </si>
  <si>
    <t xml:space="preserve">https://www.restaurantonline.co.uk/Article/2026/07/20/11-trends-shaping-and-set-to-shape-the-restaurant-sector-in-2026/</t>
  </si>
  <si>
    <t xml:space="preserve">T06 · T26</t>
  </si>
  <si>
    <t xml:space="preserve">https://diario.madrid.es/blog/notas-de-prensa/casi-el-60-de-los-locales-de-ocio-de-madrid-reconoce-que-el-tardeo-ha-incrementado-sus-ingresos/</t>
  </si>
  <si>
    <t xml:space="preserve">https://www.xataka.com/magnet/hace-anos-tardeo-era-perfecto-desconocido-hosteleria-espanola-hoy-mueve-26-negocio</t>
  </si>
  <si>
    <t xml:space="preserve">https://www.xataka.com/magnet/contracultura-gen-z-no-huele-a-tabaco-a-copas-sino-a-cafe-cenas-tempranas</t>
  </si>
  <si>
    <t xml:space="preserve">https://ine.es/dyngs/Prensa/IPC0226.htm</t>
  </si>
  <si>
    <t xml:space="preserve">https://otea.es/wp-content/uploads/2025/12/ANUARIO-HOSTELERIA-2025.pdf</t>
  </si>
  <si>
    <t xml:space="preserve">T08 · T13</t>
  </si>
  <si>
    <t xml:space="preserve">https://www.vinetur.com/amp/2026031297440/un-tercio-de-los-hosteleros-espanoles-planea-abrir-nuevos-locales-en-2026-pese-al-impacto-de-la-inflacion.html</t>
  </si>
  <si>
    <t xml:space="preserve">T08 · T11 · T13 · T17</t>
  </si>
  <si>
    <t xml:space="preserve">https://qsrmedia.com/research/in-focus/restaurants-shrink-menus-more-households-use-glp-1</t>
  </si>
  <si>
    <t xml:space="preserve">https://www.adeccogroup.com/-/media/project/adecco-group/adeccogroup/spain-content/2026-press-releases/2026-03-09-ndp-v-guia-salarial-adecco-hosteleria-turismo-2026.pdf</t>
  </si>
  <si>
    <t xml:space="preserve">https://www.diaridetarragona.com/contenidos-empresariales/266443/cal-blay-inverteix-3-milions-d-euros-nova-cuina-central-i-magatzem-logistic_amp.html</t>
  </si>
  <si>
    <t xml:space="preserve">https://www.alimarket.es/restauracion/noticia/372854/365-obrador-se-estrena-en-manresa</t>
  </si>
  <si>
    <t xml:space="preserve">https://www.agronewscastillayleon.com/caida-precio-aceite-oliva-aove-coag-mayo-2026</t>
  </si>
  <si>
    <t xml:space="preserve">https://www.vinetur.com/2025081290379/las-reservas-fantasma-afectan-a-los-restaurantes-espanoles-pese-a-la-reduccion-de-no-shows-este-verano.html</t>
  </si>
  <si>
    <t xml:space="preserve">https://www.covermanager.com/en/customers/aponiente-no-shows</t>
  </si>
  <si>
    <t xml:space="preserve">https://beancount.io/blog/2026/09/08/surge-pricing-backlash-dynamic-pricing-restaurants-retailers-guide</t>
  </si>
  <si>
    <t xml:space="preserve">https://www.alimarket.es/restauracion/noticia_amp/390115/el-sector-de-la-restauracion-se-apoya-en-la-inteligencia-artificial</t>
  </si>
  <si>
    <t xml:space="preserve">https://ift.org/news-and-publications/digital-exclusives/ai-helps-restaurants-reduce-waste</t>
  </si>
  <si>
    <t xml:space="preserve">https://orbisk.com/?p=25546816</t>
  </si>
  <si>
    <t xml:space="preserve">https://qamarero.com/blog/verifactu-retraso-octubre-2028/</t>
  </si>
  <si>
    <t xml:space="preserve">https://www.legaltoday.com/actualidad-juridica/noticias-de-derecho/nueva-prorroga-verifactu-no-sera-obligatorio-hasta-2027-para-sociedades-y-otros-contribuyentes-2025-12-04/</t>
  </si>
  <si>
    <t xml:space="preserve">https://www.fieldfisher.com/es-es/locations/espana/actualidad/ley-de-prevencion-de-las-perdidas-y-el-desperdicio-alimentario</t>
  </si>
  <si>
    <t xml:space="preserve">https://es.ara.cat/comer/michelin-deshace-definitivamente-estrellas-verdes-catalunya-perdera-15-partir-noviembre_1_5743021.html</t>
  </si>
  <si>
    <t xml:space="preserve">https://portal-cec.consumo.gob.es/es/comunicacion/noticias/2022/nueva-norma-que-garantiza-agua-de-grifo-gratis-en-hosteleria-y-reduce-el</t>
  </si>
  <si>
    <t xml:space="preserve">https://www.vinetur.com/2025111893430/el-consumo-de-bebidas-sin-o-bajas-en-alcohol-crece-un-66-en-tres-anos-en-espana.html</t>
  </si>
  <si>
    <t xml:space="preserve">https://www.timeout.es/barcelona/es/noticias/un-restaurante-de-barcelona-con-dos-estrellas-michelin-ofrece-un-maridaje-sin-alcohol-061626</t>
  </si>
  <si>
    <t xml:space="preserve">https://es.ara.cat/comer/chalar-alcohol-restaurantes-buena-oferta-bebidas-0-0_1_5477357.html</t>
  </si>
  <si>
    <t xml:space="preserve">https://www.vinetur.com/2025090190757/coravin-la-revolucion-silenciosa-del-vino-por-copa.html</t>
  </si>
  <si>
    <t xml:space="preserve">https://www.vinetur.com/20260917107323/nace-la-guia-coravin-el-nuevo-mapa-digital-que-revoluciona-el-servicio-de-vino-por-copas.html</t>
  </si>
  <si>
    <t xml:space="preserve">https://perfectdailygrind.com/es/2026/02/14/mercado-espanol-del-cafe-de-especialidad/</t>
  </si>
  <si>
    <t xml:space="preserve">https://perfectdailygrind.com/es/2026/08/29/cual-es-problema-con-matcha/</t>
  </si>
  <si>
    <t xml:space="preserve">https://www.mercasa.es/wp-content/uploads/2026/02/Cafe.pdf</t>
  </si>
  <si>
    <t xml:space="preserve">https://brainsre.news/la-presencia-de-food-halls-en-europa-aumenta-un-50/</t>
  </si>
  <si>
    <t xml:space="preserve">https://www.alimarket.es/alimentacion/noticia_amp/393363/turris-avanza-en-su-incursion-en-madrid-y-se-consolida-en-barcelona</t>
  </si>
  <si>
    <t xml:space="preserve">https://www.alimarket.es/restauracion/noticia_amp/401764/el-delivery-en-restauracion-continua-su-desarrollo</t>
  </si>
  <si>
    <t xml:space="preserve">https://www.elespanol.com/invertia/empresas/distribucion/20260717/oferta-uber-glovo-anticipa-guerra-delivery-europeo-controlar-mercado-meur/1003744323699_0.html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</si>
</sst>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Epilogue"/>
      <family val="0"/>
      <charset val="1"/>
    </font>
    <font>
      <sz val="9"/>
      <color rgb="FF555555"/>
      <name val="Epilogue"/>
      <family val="0"/>
      <charset val="1"/>
    </font>
    <font>
      <b val="true"/>
      <sz val="10"/>
      <color rgb="FF1A1A1A"/>
      <name val="Epilogue"/>
      <family val="0"/>
      <charset val="1"/>
    </font>
    <font>
      <sz val="10"/>
      <color rgb="FF1A1A1A"/>
      <name val="Epilogue"/>
      <family val="0"/>
      <charset val="1"/>
    </font>
    <font>
      <b val="true"/>
      <sz val="11"/>
      <color rgb="FFFFFFFF"/>
      <name val="Epilogue"/>
      <family val="0"/>
      <charset val="1"/>
    </font>
    <font>
      <b val="true"/>
      <sz val="9"/>
      <color rgb="FFFFFFFF"/>
      <name val="Epilogue"/>
      <family val="0"/>
      <charset val="1"/>
    </font>
    <font>
      <sz val="8"/>
      <color rgb="FF999999"/>
      <name val="Epilogue"/>
      <family val="0"/>
      <charset val="1"/>
    </font>
    <font>
      <sz val="9"/>
      <color rgb="FF1A1A1A"/>
      <name val="Epilogue"/>
      <family val="0"/>
      <charset val="1"/>
    </font>
    <font>
      <sz val="10"/>
      <color rgb="FF0000FF"/>
      <name val="Epilogue"/>
      <family val="0"/>
      <charset val="1"/>
    </font>
    <font>
      <b val="true"/>
      <sz val="10"/>
      <color rgb="FFFFFFFF"/>
      <name val="Epilogue"/>
      <family val="0"/>
      <charset val="1"/>
    </font>
    <font>
      <i val="true"/>
      <sz val="9"/>
      <color rgb="FF555555"/>
      <name val="Epilogue"/>
      <family val="0"/>
      <charset val="1"/>
    </font>
    <font>
      <u val="single"/>
      <sz val="9"/>
      <color rgb="FF0563C1"/>
      <name val="Epilogue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1D1B"/>
        <bgColor rgb="FF1A1A1A"/>
      </patternFill>
    </fill>
    <fill>
      <patternFill patternType="solid">
        <fgColor rgb="FF33B086"/>
        <bgColor rgb="FF33CCCC"/>
      </patternFill>
    </fill>
    <fill>
      <patternFill patternType="solid">
        <fgColor rgb="FFE9F6F0"/>
        <bgColor rgb="FFF3F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D1D1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9F6F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EBDD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0F6B4C"/>
          <bgColor rgb="FF000000"/>
        </patternFill>
      </fill>
    </dxf>
    <dxf>
      <font>
        <name val="Epilogue"/>
        <charset val="1"/>
        <family val="0"/>
        <b val="1"/>
        <color rgb="FF0F6B4C"/>
      </font>
      <fill>
        <patternFill>
          <bgColor rgb="FFC8EBDD"/>
        </patternFill>
      </fill>
    </dxf>
    <dxf>
      <fill>
        <patternFill>
          <bgColor rgb="FFF3F3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4C"/>
      <rgbColor rgb="FFC0C0C0"/>
      <rgbColor rgb="FF808080"/>
      <rgbColor rgb="FF9999FF"/>
      <rgbColor rgb="FF993366"/>
      <rgbColor rgb="FFF3F3F3"/>
      <rgbColor rgb="FFE9F6F0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B086"/>
      <rgbColor rgb="FF003300"/>
      <rgbColor rgb="FF1A1A1A"/>
      <rgbColor rgb="FF993300"/>
      <rgbColor rgb="FF993366"/>
      <rgbColor rgb="FF333399"/>
      <rgbColor rgb="FF1D1D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timeout.es/barcelona/es/noticias/el-chef-com-mas-estrellas-michelin-de-espana-y-el-tercero-del-mundo-abre-un-restaurante-asequible-en-barcelona-042026" TargetMode="External"/><Relationship Id="rId2" Type="http://schemas.openxmlformats.org/officeDocument/2006/relationships/hyperlink" Target="https://www.que.es/2026/07/26/martin-berasategui-cierra-estrella-michelin-tapas/" TargetMode="External"/><Relationship Id="rId3" Type="http://schemas.openxmlformats.org/officeDocument/2006/relationships/hyperlink" Target="https://www.forbesargentina.com/lifestyle/menus-mas-cortos-precios-accesibles-formula-alta-cocina-busca-nuevos-clientes-n96944" TargetMode="External"/><Relationship Id="rId4" Type="http://schemas.openxmlformats.org/officeDocument/2006/relationships/hyperlink" Target="https://theobjective.com/gastronomia/2026-01-09/nuevos-restaurantes-abriran-madrid-2026/" TargetMode="External"/><Relationship Id="rId5" Type="http://schemas.openxmlformats.org/officeDocument/2006/relationships/hyperlink" Target="https://www.bolsamania.com/noticias/empresas/economia--el-66-de-los-espanoles-sale-a-bares-y-restaurantes-igual-o-mas-que-hace-un-ano-impulsado-por-los-jovenes--22469129.html" TargetMode="External"/><Relationship Id="rId6" Type="http://schemas.openxmlformats.org/officeDocument/2006/relationships/hyperlink" Target="https://hospitality-on.com/fr/restauration/vers-une-rationalisation-des-menus-et-des-process-dans-la-restauration" TargetMode="External"/><Relationship Id="rId7" Type="http://schemas.openxmlformats.org/officeDocument/2006/relationships/hyperlink" Target="https://www.elespanol.com/sociedad/20260509/espana-cambia-normas-bares-restaurantes-deberan-ofrecer-raciones-pequenas-entregar-sobras-gratis/1003744237215_0.html" TargetMode="External"/><Relationship Id="rId8" Type="http://schemas.openxmlformats.org/officeDocument/2006/relationships/hyperlink" Target="https://www.hrc.co.uk/news/hg-announces-second-london-opening-victoria-uk-expansion-gathers-pace" TargetMode="External"/><Relationship Id="rId9" Type="http://schemas.openxmlformats.org/officeDocument/2006/relationships/hyperlink" Target="https://londontheinside.com/where-have-all-the-vegans-gone/" TargetMode="External"/><Relationship Id="rId10" Type="http://schemas.openxmlformats.org/officeDocument/2006/relationships/hyperlink" Target="https://www.axios.com/2026/01/07/restaurant-menu-high-protein-dunkin-subway-chipotle" TargetMode="External"/><Relationship Id="rId11" Type="http://schemas.openxmlformats.org/officeDocument/2006/relationships/hyperlink" Target="https://tastymondays.substack.com/p/la-invasion-coreana-llega-a-barcelona" TargetMode="External"/><Relationship Id="rId12" Type="http://schemas.openxmlformats.org/officeDocument/2006/relationships/hyperlink" Target="https://www.restaurantonline.co.uk/Article/2026/07/20/11-trends-shaping-and-set-to-shape-the-restaurant-sector-in-2026/" TargetMode="External"/><Relationship Id="rId13" Type="http://schemas.openxmlformats.org/officeDocument/2006/relationships/hyperlink" Target="https://diario.madrid.es/blog/notas-de-prensa/casi-el-60-de-los-locales-de-ocio-de-madrid-reconoce-que-el-tardeo-ha-incrementado-sus-ingresos/" TargetMode="External"/><Relationship Id="rId14" Type="http://schemas.openxmlformats.org/officeDocument/2006/relationships/hyperlink" Target="https://www.xataka.com/magnet/hace-anos-tardeo-era-perfecto-desconocido-hosteleria-espanola-hoy-mueve-26-negocio" TargetMode="External"/><Relationship Id="rId15" Type="http://schemas.openxmlformats.org/officeDocument/2006/relationships/hyperlink" Target="https://www.xataka.com/magnet/contracultura-gen-z-no-huele-a-tabaco-a-copas-sino-a-cafe-cenas-tempranas" TargetMode="External"/><Relationship Id="rId16" Type="http://schemas.openxmlformats.org/officeDocument/2006/relationships/hyperlink" Target="https://ine.es/dyngs/Prensa/IPC0226.htm" TargetMode="External"/><Relationship Id="rId17" Type="http://schemas.openxmlformats.org/officeDocument/2006/relationships/hyperlink" Target="https://otea.es/wp-content/uploads/2025/12/ANUARIO-HOSTELERIA-2025.pdf" TargetMode="External"/><Relationship Id="rId18" Type="http://schemas.openxmlformats.org/officeDocument/2006/relationships/hyperlink" Target="https://www.vinetur.com/amp/2026031297440/un-tercio-de-los-hosteleros-espanoles-planea-abrir-nuevos-locales-en-2026-pese-al-impacto-de-la-inflacion.html" TargetMode="External"/><Relationship Id="rId19" Type="http://schemas.openxmlformats.org/officeDocument/2006/relationships/hyperlink" Target="https://axios.com/2026/07/17/solo-dining-reservations-jump-opentable" TargetMode="External"/><Relationship Id="rId20" Type="http://schemas.openxmlformats.org/officeDocument/2006/relationships/hyperlink" Target="https://qsrmedia.com/research/in-focus/restaurants-shrink-menus-more-households-use-glp-1" TargetMode="External"/><Relationship Id="rId21" Type="http://schemas.openxmlformats.org/officeDocument/2006/relationships/hyperlink" Target="https://www.adeccogroup.com/-/media/project/adecco-group/adeccogroup/spain-content/2026-press-releases/2026-03-09-ndp-v-guia-salarial-adecco-hosteleria-turismo-2026.pdf" TargetMode="External"/><Relationship Id="rId22" Type="http://schemas.openxmlformats.org/officeDocument/2006/relationships/hyperlink" Target="https://www.diaridetarragona.com/contenidos-empresariales/266443/cal-blay-inverteix-3-milions-d-euros-nova-cuina-central-i-magatzem-logistic_amp.html" TargetMode="External"/><Relationship Id="rId23" Type="http://schemas.openxmlformats.org/officeDocument/2006/relationships/hyperlink" Target="https://www.alimarket.es/restauracion/noticia/372854/365-obrador-se-estrena-en-manresa" TargetMode="External"/><Relationship Id="rId24" Type="http://schemas.openxmlformats.org/officeDocument/2006/relationships/hyperlink" Target="https://www.agronewscastillayleon.com/caida-precio-aceite-oliva-aove-coag-mayo-2026" TargetMode="External"/><Relationship Id="rId25" Type="http://schemas.openxmlformats.org/officeDocument/2006/relationships/hyperlink" Target="https://www.timeout.es/barcelona/es/noticias/agoniza-el-menu-de-mediodia-en-barcelona-032225" TargetMode="External"/><Relationship Id="rId26" Type="http://schemas.openxmlformats.org/officeDocument/2006/relationships/hyperlink" Target="https://www.vinetur.com/2025081290379/las-reservas-fantasma-afectan-a-los-restaurantes-espanoles-pese-a-la-reduccion-de-no-shows-este-verano.html" TargetMode="External"/><Relationship Id="rId27" Type="http://schemas.openxmlformats.org/officeDocument/2006/relationships/hyperlink" Target="https://www.covermanager.com/en/customers/aponiente-no-shows" TargetMode="External"/><Relationship Id="rId28" Type="http://schemas.openxmlformats.org/officeDocument/2006/relationships/hyperlink" Target="https://beancount.io/blog/2026/09/08/surge-pricing-backlash-dynamic-pricing-restaurants-retailers-guide" TargetMode="External"/><Relationship Id="rId29" Type="http://schemas.openxmlformats.org/officeDocument/2006/relationships/hyperlink" Target="https://www.alimarket.es/restauracion/noticia_amp/390115/el-sector-de-la-restauracion-se-apoya-en-la-inteligencia-artificial" TargetMode="External"/><Relationship Id="rId30" Type="http://schemas.openxmlformats.org/officeDocument/2006/relationships/hyperlink" Target="https://ift.org/news-and-publications/digital-exclusives/ai-helps-restaurants-reduce-waste" TargetMode="External"/><Relationship Id="rId31" Type="http://schemas.openxmlformats.org/officeDocument/2006/relationships/hyperlink" Target="https://orbisk.com/?p=25546816" TargetMode="External"/><Relationship Id="rId32" Type="http://schemas.openxmlformats.org/officeDocument/2006/relationships/hyperlink" Target="https://qamarero.com/blog/verifactu-retraso-octubre-2028/" TargetMode="External"/><Relationship Id="rId33" Type="http://schemas.openxmlformats.org/officeDocument/2006/relationships/hyperlink" Target="https://www.legaltoday.com/actualidad-juridica/noticias-de-derecho/nueva-prorroga-verifactu-no-sera-obligatorio-hasta-2027-para-sociedades-y-otros-contribuyentes-2025-12-04/" TargetMode="External"/><Relationship Id="rId34" Type="http://schemas.openxmlformats.org/officeDocument/2006/relationships/hyperlink" Target="https://www.fieldfisher.com/es-es/locations/espana/actualidad/ley-de-prevencion-de-las-perdidas-y-el-desperdicio-alimentario" TargetMode="External"/><Relationship Id="rId35" Type="http://schemas.openxmlformats.org/officeDocument/2006/relationships/hyperlink" Target="https://es.ara.cat/comer/michelin-deshace-definitivamente-estrellas-verdes-catalunya-perdera-15-partir-noviembre_1_5743021.html" TargetMode="External"/><Relationship Id="rId36" Type="http://schemas.openxmlformats.org/officeDocument/2006/relationships/hyperlink" Target="https://portal-cec.consumo.gob.es/es/comunicacion/noticias/2022/nueva-norma-que-garantiza-agua-de-grifo-gratis-en-hosteleria-y-reduce-el" TargetMode="External"/><Relationship Id="rId37" Type="http://schemas.openxmlformats.org/officeDocument/2006/relationships/hyperlink" Target="https://www.vinetur.com/2025111893430/el-consumo-de-bebidas-sin-o-bajas-en-alcohol-crece-un-66-en-tres-anos-en-espana.html" TargetMode="External"/><Relationship Id="rId38" Type="http://schemas.openxmlformats.org/officeDocument/2006/relationships/hyperlink" Target="https://www.timeout.es/barcelona/es/noticias/un-restaurante-de-barcelona-con-dos-estrellas-michelin-ofrece-un-maridaje-sin-alcohol-061626" TargetMode="External"/><Relationship Id="rId39" Type="http://schemas.openxmlformats.org/officeDocument/2006/relationships/hyperlink" Target="https://es.ara.cat/comer/chalar-alcohol-restaurantes-buena-oferta-bebidas-0-0_1_5477357.html" TargetMode="External"/><Relationship Id="rId40" Type="http://schemas.openxmlformats.org/officeDocument/2006/relationships/hyperlink" Target="https://www.catalannews.com/life-style/item/barcelona-sips-paradiso-bars-best-worldwide-9-october-2025" TargetMode="External"/><Relationship Id="rId41" Type="http://schemas.openxmlformats.org/officeDocument/2006/relationships/hyperlink" Target="https://www.vinetur.com/2025090190757/coravin-la-revolucion-silenciosa-del-vino-por-copa.html" TargetMode="External"/><Relationship Id="rId42" Type="http://schemas.openxmlformats.org/officeDocument/2006/relationships/hyperlink" Target="https://www.vinetur.com/20260917107323/nace-la-guia-coravin-el-nuevo-mapa-digital-que-revoluciona-el-servicio-de-vino-por-copas.html" TargetMode="External"/><Relationship Id="rId43" Type="http://schemas.openxmlformats.org/officeDocument/2006/relationships/hyperlink" Target="https://perfectdailygrind.com/es/2026/02/14/mercado-espanol-del-cafe-de-especialidad/" TargetMode="External"/><Relationship Id="rId44" Type="http://schemas.openxmlformats.org/officeDocument/2006/relationships/hyperlink" Target="https://perfectdailygrind.com/es/2026/08/29/cual-es-problema-con-matcha/" TargetMode="External"/><Relationship Id="rId45" Type="http://schemas.openxmlformats.org/officeDocument/2006/relationships/hyperlink" Target="https://www.mercasa.es/wp-content/uploads/2026/02/Cafe.pdf" TargetMode="External"/><Relationship Id="rId46" Type="http://schemas.openxmlformats.org/officeDocument/2006/relationships/hyperlink" Target="https://brainsre.news/la-presencia-de-food-halls-en-europa-aumenta-un-50/" TargetMode="External"/><Relationship Id="rId47" Type="http://schemas.openxmlformats.org/officeDocument/2006/relationships/hyperlink" Target="https://www.alimarket.es/alimentacion/noticia_amp/393363/turris-avanza-en-su-incursion-en-madrid-y-se-consolida-en-barcelona" TargetMode="External"/><Relationship Id="rId48" Type="http://schemas.openxmlformats.org/officeDocument/2006/relationships/hyperlink" Target="https://www.alimarket.es/restauracion/noticia_amp/401764/el-delivery-en-restauracion-continua-su-desarrollo" TargetMode="External"/><Relationship Id="rId49" Type="http://schemas.openxmlformats.org/officeDocument/2006/relationships/hyperlink" Target="https://www.elespanol.com/invertia/empresas/distribucion/20260717/oferta-uber-glovo-anticipa-guerra-delivery-europeo-controlar-mercado-meur/1003744323699_0.html" TargetMode="External"/><Relationship Id="rId50" Type="http://schemas.openxmlformats.org/officeDocument/2006/relationships/hyperlink" Target="https://es.ara.cat/sociedad/barcelona/ultimo-barcelona-combatir-monocultivo-turistico-comercio-ciutat-vella_1_5410794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22"/>
  </cols>
  <sheetData>
    <row r="1" customFormat="false" ht="30" hidden="false" customHeight="true" outlineLevel="0" collapsed="false">
      <c r="B1" s="1" t="s">
        <v>0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3" t="s">
        <v>1</v>
      </c>
    </row>
    <row r="4" customFormat="false" ht="48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</row>
    <row r="5" customFormat="false" ht="48" hidden="false" customHeight="true" outlineLevel="0" collapsed="false">
      <c r="B5" s="4" t="s">
        <v>4</v>
      </c>
      <c r="C5" s="5" t="s">
        <v>5</v>
      </c>
      <c r="D5" s="5"/>
      <c r="E5" s="5"/>
      <c r="F5" s="5"/>
      <c r="G5" s="5"/>
    </row>
    <row r="6" customFormat="false" ht="48" hidden="false" customHeight="true" outlineLevel="0" collapsed="false">
      <c r="B6" s="4" t="s">
        <v>6</v>
      </c>
      <c r="C6" s="5" t="s">
        <v>7</v>
      </c>
      <c r="D6" s="5"/>
      <c r="E6" s="5"/>
      <c r="F6" s="5"/>
      <c r="G6" s="5"/>
    </row>
    <row r="7" customFormat="false" ht="48" hidden="false" customHeight="true" outlineLevel="0" collapsed="false">
      <c r="B7" s="4" t="s">
        <v>8</v>
      </c>
      <c r="C7" s="5" t="s">
        <v>9</v>
      </c>
      <c r="D7" s="5"/>
      <c r="E7" s="5"/>
      <c r="F7" s="5"/>
      <c r="G7" s="5"/>
    </row>
    <row r="8" customFormat="false" ht="48" hidden="false" customHeight="true" outlineLevel="0" collapsed="false">
      <c r="B8" s="4" t="s">
        <v>10</v>
      </c>
      <c r="C8" s="5" t="s">
        <v>11</v>
      </c>
      <c r="D8" s="5"/>
      <c r="E8" s="5"/>
      <c r="F8" s="5"/>
      <c r="G8" s="5"/>
    </row>
    <row r="9" customFormat="false" ht="48" hidden="false" customHeight="true" outlineLevel="0" collapsed="false">
      <c r="B9" s="4" t="s">
        <v>12</v>
      </c>
      <c r="C9" s="5" t="s">
        <v>13</v>
      </c>
      <c r="D9" s="5"/>
      <c r="E9" s="5"/>
      <c r="F9" s="5"/>
      <c r="G9" s="5"/>
    </row>
    <row r="10" customFormat="false" ht="48" hidden="false" customHeight="true" outlineLevel="0" collapsed="false">
      <c r="B10" s="4" t="s">
        <v>14</v>
      </c>
      <c r="C10" s="5" t="s">
        <v>15</v>
      </c>
      <c r="D10" s="5"/>
      <c r="E10" s="5"/>
      <c r="F10" s="5"/>
      <c r="G10" s="5"/>
    </row>
    <row r="11" customFormat="false" ht="48" hidden="false" customHeight="true" outlineLevel="0" collapsed="false">
      <c r="B11" s="4" t="s">
        <v>16</v>
      </c>
      <c r="C11" s="5" t="s">
        <v>17</v>
      </c>
      <c r="D11" s="5"/>
      <c r="E11" s="5"/>
      <c r="F11" s="5"/>
      <c r="G11" s="5"/>
    </row>
    <row r="13" customFormat="false" ht="15" hidden="false" customHeight="false" outlineLevel="0" collapsed="false">
      <c r="B13" s="6" t="s">
        <v>18</v>
      </c>
      <c r="C13" s="7"/>
      <c r="D13" s="7"/>
      <c r="E13" s="7"/>
      <c r="F13" s="7"/>
      <c r="G13" s="7"/>
    </row>
    <row r="14" customFormat="false" ht="15" hidden="false" customHeight="false" outlineLevel="0" collapsed="false">
      <c r="B14" s="8" t="s">
        <v>19</v>
      </c>
      <c r="C14" s="9" t="s">
        <v>20</v>
      </c>
      <c r="D14" s="9"/>
      <c r="E14" s="9"/>
      <c r="F14" s="9"/>
      <c r="G14" s="9"/>
    </row>
    <row r="15" customFormat="false" ht="15" hidden="false" customHeight="false" outlineLevel="0" collapsed="false">
      <c r="B15" s="8" t="s">
        <v>21</v>
      </c>
      <c r="C15" s="9" t="s">
        <v>22</v>
      </c>
      <c r="D15" s="9"/>
      <c r="E15" s="9"/>
      <c r="F15" s="9"/>
      <c r="G15" s="9"/>
    </row>
    <row r="16" customFormat="false" ht="15" hidden="false" customHeight="false" outlineLevel="0" collapsed="false">
      <c r="B16" s="8" t="s">
        <v>23</v>
      </c>
      <c r="C16" s="9" t="s">
        <v>24</v>
      </c>
      <c r="D16" s="9"/>
      <c r="E16" s="9"/>
      <c r="F16" s="9"/>
      <c r="G16" s="9"/>
    </row>
    <row r="17" customFormat="false" ht="15" hidden="false" customHeight="false" outlineLevel="0" collapsed="false">
      <c r="B17" s="8" t="s">
        <v>25</v>
      </c>
      <c r="C17" s="9" t="s">
        <v>26</v>
      </c>
      <c r="D17" s="9"/>
      <c r="E17" s="9"/>
      <c r="F17" s="9"/>
      <c r="G17" s="9"/>
    </row>
    <row r="18" customFormat="false" ht="15" hidden="false" customHeight="false" outlineLevel="0" collapsed="false">
      <c r="B18" s="8" t="s">
        <v>27</v>
      </c>
      <c r="C18" s="9" t="s">
        <v>28</v>
      </c>
      <c r="D18" s="9"/>
      <c r="E18" s="9"/>
      <c r="F18" s="9"/>
      <c r="G18" s="9"/>
    </row>
    <row r="19" customFormat="false" ht="15" hidden="false" customHeight="false" outlineLevel="0" collapsed="false">
      <c r="B19" s="8" t="s">
        <v>29</v>
      </c>
      <c r="C19" s="9" t="s">
        <v>30</v>
      </c>
      <c r="D19" s="9"/>
      <c r="E19" s="9"/>
      <c r="F19" s="9"/>
      <c r="G19" s="9"/>
    </row>
  </sheetData>
  <mergeCells count="14">
    <mergeCell ref="C4:G4"/>
    <mergeCell ref="C5:G5"/>
    <mergeCell ref="C6:G6"/>
    <mergeCell ref="C7:G7"/>
    <mergeCell ref="C8:G8"/>
    <mergeCell ref="C9:G9"/>
    <mergeCell ref="C10:G10"/>
    <mergeCell ref="C11:G11"/>
    <mergeCell ref="C14:G14"/>
    <mergeCell ref="C15:G15"/>
    <mergeCell ref="C16:G16"/>
    <mergeCell ref="C17:G17"/>
    <mergeCell ref="C18:G18"/>
    <mergeCell ref="C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44"/>
    <col collapsed="false" customWidth="true" hidden="false" outlineLevel="0" max="8" min="8" style="0" width="11"/>
    <col collapsed="false" customWidth="true" hidden="false" outlineLevel="0" max="9" min="9" style="0" width="46"/>
    <col collapsed="false" customWidth="true" hidden="false" outlineLevel="0" max="11" min="10" style="0" width="38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8"/>
    <col collapsed="false" customWidth="true" hidden="false" outlineLevel="0" max="19" min="19" style="0" width="11"/>
    <col collapsed="false" customWidth="true" hidden="false" outlineLevel="0" max="20" min="20" style="0" width="16"/>
    <col collapsed="false" customWidth="true" hidden="false" outlineLevel="0" max="21" min="21" style="0" width="10"/>
    <col collapsed="false" customWidth="true" hidden="false" outlineLevel="0" max="22" min="22" style="0" width="48"/>
    <col collapsed="false" customWidth="true" hidden="false" outlineLevel="0" max="23" min="23" style="0" width="50"/>
    <col collapsed="false" customWidth="true" hidden="false" outlineLevel="0" max="24" min="24" style="0" width="8"/>
  </cols>
  <sheetData>
    <row r="1" customFormat="false" ht="30" hidden="false" customHeight="true" outlineLevel="0" collapsed="false">
      <c r="B1" s="1" t="s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B2" s="3" t="s">
        <v>32</v>
      </c>
    </row>
    <row r="4" customFormat="false" ht="46.25" hidden="false" customHeight="false" outlineLevel="0" collapsed="false">
      <c r="B4" s="10" t="s">
        <v>33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I4" s="10" t="s">
        <v>40</v>
      </c>
      <c r="J4" s="10" t="s">
        <v>41</v>
      </c>
      <c r="K4" s="10" t="s">
        <v>42</v>
      </c>
      <c r="L4" s="10" t="s">
        <v>43</v>
      </c>
      <c r="M4" s="10" t="s">
        <v>44</v>
      </c>
      <c r="N4" s="10" t="s">
        <v>45</v>
      </c>
      <c r="O4" s="10" t="s">
        <v>12</v>
      </c>
      <c r="P4" s="10" t="s">
        <v>10</v>
      </c>
      <c r="Q4" s="10" t="s">
        <v>46</v>
      </c>
      <c r="R4" s="10" t="s">
        <v>47</v>
      </c>
      <c r="S4" s="10" t="s">
        <v>48</v>
      </c>
      <c r="T4" s="10" t="s">
        <v>49</v>
      </c>
      <c r="U4" s="10" t="s">
        <v>50</v>
      </c>
      <c r="V4" s="10" t="s">
        <v>51</v>
      </c>
      <c r="W4" s="10" t="s">
        <v>52</v>
      </c>
      <c r="X4" s="11" t="s">
        <v>53</v>
      </c>
    </row>
    <row r="5" customFormat="false" ht="150" hidden="false" customHeight="true" outlineLevel="0" collapsed="false">
      <c r="B5" s="12" t="s">
        <v>54</v>
      </c>
      <c r="C5" s="13" t="s">
        <v>55</v>
      </c>
      <c r="D5" s="12" t="s">
        <v>56</v>
      </c>
      <c r="E5" s="13" t="s">
        <v>57</v>
      </c>
      <c r="F5" s="13" t="s">
        <v>58</v>
      </c>
      <c r="G5" s="13" t="s">
        <v>59</v>
      </c>
      <c r="H5" s="14" t="s">
        <v>60</v>
      </c>
      <c r="I5" s="13" t="s">
        <v>61</v>
      </c>
      <c r="J5" s="13" t="s">
        <v>62</v>
      </c>
      <c r="K5" s="13" t="s">
        <v>63</v>
      </c>
      <c r="L5" s="14" t="s">
        <v>64</v>
      </c>
      <c r="M5" s="15" t="s">
        <v>65</v>
      </c>
      <c r="N5" s="13" t="s">
        <v>66</v>
      </c>
      <c r="O5" s="15" t="s">
        <v>67</v>
      </c>
      <c r="P5" s="15" t="s">
        <v>68</v>
      </c>
      <c r="Q5" s="15" t="n">
        <v>3</v>
      </c>
      <c r="R5" s="14" t="n">
        <f aca="false">IF(M5="Alta",3,IF(M5="Media",2,IF(M5="Baja",1,"")))</f>
        <v>3</v>
      </c>
      <c r="S5" s="16" t="n">
        <f aca="false">IF(OR(R5="",Q5=""),"",R5*Q5)</f>
        <v>9</v>
      </c>
      <c r="T5" s="13" t="s">
        <v>69</v>
      </c>
      <c r="U5" s="17" t="s">
        <v>70</v>
      </c>
      <c r="V5" s="13" t="s">
        <v>71</v>
      </c>
      <c r="W5" s="13" t="s">
        <v>72</v>
      </c>
      <c r="X5" s="11" t="n">
        <f aca="false">IF(S5="",0,S5)-ROW()/1000</f>
        <v>8.995</v>
      </c>
    </row>
    <row r="6" customFormat="false" ht="150" hidden="false" customHeight="true" outlineLevel="0" collapsed="false">
      <c r="B6" s="12" t="s">
        <v>73</v>
      </c>
      <c r="C6" s="13" t="s">
        <v>55</v>
      </c>
      <c r="D6" s="12" t="s">
        <v>74</v>
      </c>
      <c r="E6" s="13" t="s">
        <v>75</v>
      </c>
      <c r="F6" s="13" t="s">
        <v>76</v>
      </c>
      <c r="G6" s="13" t="s">
        <v>77</v>
      </c>
      <c r="H6" s="14" t="s">
        <v>78</v>
      </c>
      <c r="I6" s="13" t="s">
        <v>79</v>
      </c>
      <c r="J6" s="13" t="s">
        <v>80</v>
      </c>
      <c r="K6" s="13" t="s">
        <v>81</v>
      </c>
      <c r="L6" s="14" t="s">
        <v>64</v>
      </c>
      <c r="M6" s="15" t="s">
        <v>65</v>
      </c>
      <c r="N6" s="13" t="s">
        <v>82</v>
      </c>
      <c r="O6" s="15" t="s">
        <v>83</v>
      </c>
      <c r="P6" s="15" t="s">
        <v>68</v>
      </c>
      <c r="Q6" s="15" t="n">
        <v>2</v>
      </c>
      <c r="R6" s="14" t="n">
        <f aca="false">IF(M6="Alta",3,IF(M6="Media",2,IF(M6="Baja",1,"")))</f>
        <v>3</v>
      </c>
      <c r="S6" s="16" t="n">
        <f aca="false">IF(OR(R6="",Q6=""),"",R6*Q6)</f>
        <v>6</v>
      </c>
      <c r="T6" s="13" t="s">
        <v>84</v>
      </c>
      <c r="U6" s="17" t="s">
        <v>85</v>
      </c>
      <c r="V6" s="13" t="s">
        <v>86</v>
      </c>
      <c r="W6" s="13" t="s">
        <v>87</v>
      </c>
      <c r="X6" s="11" t="n">
        <f aca="false">IF(S6="",0,S6)-ROW()/1000</f>
        <v>5.994</v>
      </c>
    </row>
    <row r="7" customFormat="false" ht="150" hidden="false" customHeight="true" outlineLevel="0" collapsed="false">
      <c r="B7" s="12" t="s">
        <v>88</v>
      </c>
      <c r="C7" s="13" t="s">
        <v>55</v>
      </c>
      <c r="D7" s="12" t="s">
        <v>89</v>
      </c>
      <c r="E7" s="13" t="s">
        <v>90</v>
      </c>
      <c r="F7" s="13" t="s">
        <v>91</v>
      </c>
      <c r="G7" s="13" t="s">
        <v>92</v>
      </c>
      <c r="H7" s="14" t="s">
        <v>93</v>
      </c>
      <c r="I7" s="13" t="s">
        <v>94</v>
      </c>
      <c r="J7" s="13" t="s">
        <v>95</v>
      </c>
      <c r="K7" s="13" t="s">
        <v>96</v>
      </c>
      <c r="L7" s="14" t="s">
        <v>64</v>
      </c>
      <c r="M7" s="15" t="s">
        <v>65</v>
      </c>
      <c r="N7" s="13" t="s">
        <v>97</v>
      </c>
      <c r="O7" s="15" t="s">
        <v>67</v>
      </c>
      <c r="P7" s="15" t="s">
        <v>98</v>
      </c>
      <c r="Q7" s="15" t="n">
        <v>3</v>
      </c>
      <c r="R7" s="14" t="n">
        <f aca="false">IF(M7="Alta",3,IF(M7="Media",2,IF(M7="Baja",1,"")))</f>
        <v>3</v>
      </c>
      <c r="S7" s="16" t="n">
        <f aca="false">IF(OR(R7="",Q7=""),"",R7*Q7)</f>
        <v>9</v>
      </c>
      <c r="T7" s="13" t="s">
        <v>99</v>
      </c>
      <c r="U7" s="17" t="s">
        <v>100</v>
      </c>
      <c r="V7" s="13" t="s">
        <v>101</v>
      </c>
      <c r="W7" s="13" t="s">
        <v>102</v>
      </c>
      <c r="X7" s="11" t="n">
        <f aca="false">IF(S7="",0,S7)-ROW()/1000</f>
        <v>8.993</v>
      </c>
    </row>
    <row r="8" customFormat="false" ht="150" hidden="false" customHeight="true" outlineLevel="0" collapsed="false">
      <c r="B8" s="12" t="s">
        <v>103</v>
      </c>
      <c r="C8" s="13" t="s">
        <v>104</v>
      </c>
      <c r="D8" s="12" t="s">
        <v>105</v>
      </c>
      <c r="E8" s="13" t="s">
        <v>106</v>
      </c>
      <c r="F8" s="13" t="s">
        <v>107</v>
      </c>
      <c r="G8" s="13" t="s">
        <v>108</v>
      </c>
      <c r="H8" s="14" t="s">
        <v>109</v>
      </c>
      <c r="I8" s="13" t="s">
        <v>110</v>
      </c>
      <c r="J8" s="13" t="s">
        <v>111</v>
      </c>
      <c r="K8" s="13" t="s">
        <v>112</v>
      </c>
      <c r="L8" s="14" t="s">
        <v>64</v>
      </c>
      <c r="M8" s="15" t="s">
        <v>65</v>
      </c>
      <c r="N8" s="13" t="s">
        <v>113</v>
      </c>
      <c r="O8" s="15" t="s">
        <v>83</v>
      </c>
      <c r="P8" s="15" t="s">
        <v>68</v>
      </c>
      <c r="Q8" s="15" t="n">
        <v>2</v>
      </c>
      <c r="R8" s="14" t="n">
        <f aca="false">IF(M8="Alta",3,IF(M8="Media",2,IF(M8="Baja",1,"")))</f>
        <v>3</v>
      </c>
      <c r="S8" s="16" t="n">
        <f aca="false">IF(OR(R8="",Q8=""),"",R8*Q8)</f>
        <v>6</v>
      </c>
      <c r="T8" s="13" t="s">
        <v>114</v>
      </c>
      <c r="U8" s="17" t="s">
        <v>115</v>
      </c>
      <c r="V8" s="13" t="s">
        <v>116</v>
      </c>
      <c r="W8" s="13" t="s">
        <v>117</v>
      </c>
      <c r="X8" s="11" t="n">
        <f aca="false">IF(S8="",0,S8)-ROW()/1000</f>
        <v>5.992</v>
      </c>
    </row>
    <row r="9" customFormat="false" ht="150" hidden="false" customHeight="true" outlineLevel="0" collapsed="false">
      <c r="B9" s="12" t="s">
        <v>118</v>
      </c>
      <c r="C9" s="13" t="s">
        <v>104</v>
      </c>
      <c r="D9" s="12" t="s">
        <v>119</v>
      </c>
      <c r="E9" s="13" t="s">
        <v>120</v>
      </c>
      <c r="F9" s="13" t="s">
        <v>121</v>
      </c>
      <c r="G9" s="13" t="s">
        <v>122</v>
      </c>
      <c r="H9" s="14" t="s">
        <v>123</v>
      </c>
      <c r="I9" s="13" t="s">
        <v>124</v>
      </c>
      <c r="J9" s="13" t="s">
        <v>125</v>
      </c>
      <c r="K9" s="13" t="s">
        <v>126</v>
      </c>
      <c r="L9" s="14" t="s">
        <v>127</v>
      </c>
      <c r="M9" s="15" t="s">
        <v>128</v>
      </c>
      <c r="N9" s="13" t="s">
        <v>129</v>
      </c>
      <c r="O9" s="15" t="s">
        <v>67</v>
      </c>
      <c r="P9" s="15" t="s">
        <v>98</v>
      </c>
      <c r="Q9" s="15" t="n">
        <v>2</v>
      </c>
      <c r="R9" s="14" t="n">
        <f aca="false">IF(M9="Alta",3,IF(M9="Media",2,IF(M9="Baja",1,"")))</f>
        <v>2</v>
      </c>
      <c r="S9" s="16" t="n">
        <f aca="false">IF(OR(R9="",Q9=""),"",R9*Q9)</f>
        <v>4</v>
      </c>
      <c r="T9" s="13" t="s">
        <v>130</v>
      </c>
      <c r="U9" s="17" t="s">
        <v>131</v>
      </c>
      <c r="V9" s="13" t="s">
        <v>132</v>
      </c>
      <c r="W9" s="13" t="s">
        <v>133</v>
      </c>
      <c r="X9" s="11" t="n">
        <f aca="false">IF(S9="",0,S9)-ROW()/1000</f>
        <v>3.991</v>
      </c>
    </row>
    <row r="10" customFormat="false" ht="150" hidden="false" customHeight="true" outlineLevel="0" collapsed="false">
      <c r="B10" s="12" t="s">
        <v>134</v>
      </c>
      <c r="C10" s="13" t="s">
        <v>104</v>
      </c>
      <c r="D10" s="12" t="s">
        <v>135</v>
      </c>
      <c r="E10" s="13" t="s">
        <v>136</v>
      </c>
      <c r="F10" s="13" t="s">
        <v>137</v>
      </c>
      <c r="G10" s="13" t="s">
        <v>138</v>
      </c>
      <c r="H10" s="14" t="s">
        <v>109</v>
      </c>
      <c r="I10" s="13" t="s">
        <v>139</v>
      </c>
      <c r="J10" s="13" t="s">
        <v>140</v>
      </c>
      <c r="K10" s="13" t="s">
        <v>141</v>
      </c>
      <c r="L10" s="14" t="s">
        <v>142</v>
      </c>
      <c r="M10" s="15" t="s">
        <v>128</v>
      </c>
      <c r="N10" s="13" t="s">
        <v>143</v>
      </c>
      <c r="O10" s="15" t="s">
        <v>67</v>
      </c>
      <c r="P10" s="15" t="s">
        <v>144</v>
      </c>
      <c r="Q10" s="15" t="n">
        <v>1</v>
      </c>
      <c r="R10" s="14" t="n">
        <f aca="false">IF(M10="Alta",3,IF(M10="Media",2,IF(M10="Baja",1,"")))</f>
        <v>2</v>
      </c>
      <c r="S10" s="16" t="n">
        <f aca="false">IF(OR(R10="",Q10=""),"",R10*Q10)</f>
        <v>2</v>
      </c>
      <c r="T10" s="13" t="s">
        <v>145</v>
      </c>
      <c r="U10" s="17" t="s">
        <v>131</v>
      </c>
      <c r="V10" s="13" t="s">
        <v>146</v>
      </c>
      <c r="W10" s="13" t="s">
        <v>147</v>
      </c>
      <c r="X10" s="11" t="n">
        <f aca="false">IF(S10="",0,S10)-ROW()/1000</f>
        <v>1.99</v>
      </c>
    </row>
    <row r="11" customFormat="false" ht="150" hidden="false" customHeight="true" outlineLevel="0" collapsed="false">
      <c r="B11" s="12" t="s">
        <v>148</v>
      </c>
      <c r="C11" s="13" t="s">
        <v>149</v>
      </c>
      <c r="D11" s="12" t="s">
        <v>150</v>
      </c>
      <c r="E11" s="13" t="s">
        <v>151</v>
      </c>
      <c r="F11" s="13" t="s">
        <v>152</v>
      </c>
      <c r="G11" s="13" t="s">
        <v>153</v>
      </c>
      <c r="H11" s="14" t="s">
        <v>154</v>
      </c>
      <c r="I11" s="13" t="s">
        <v>155</v>
      </c>
      <c r="J11" s="13" t="s">
        <v>156</v>
      </c>
      <c r="K11" s="13" t="s">
        <v>157</v>
      </c>
      <c r="L11" s="14" t="s">
        <v>127</v>
      </c>
      <c r="M11" s="15" t="s">
        <v>65</v>
      </c>
      <c r="N11" s="13" t="s">
        <v>158</v>
      </c>
      <c r="O11" s="15" t="s">
        <v>83</v>
      </c>
      <c r="P11" s="15" t="s">
        <v>98</v>
      </c>
      <c r="Q11" s="15" t="n">
        <v>3</v>
      </c>
      <c r="R11" s="14" t="n">
        <f aca="false">IF(M11="Alta",3,IF(M11="Media",2,IF(M11="Baja",1,"")))</f>
        <v>3</v>
      </c>
      <c r="S11" s="16" t="n">
        <f aca="false">IF(OR(R11="",Q11=""),"",R11*Q11)</f>
        <v>9</v>
      </c>
      <c r="T11" s="13" t="s">
        <v>159</v>
      </c>
      <c r="U11" s="17" t="s">
        <v>100</v>
      </c>
      <c r="V11" s="13" t="s">
        <v>160</v>
      </c>
      <c r="W11" s="13" t="s">
        <v>161</v>
      </c>
      <c r="X11" s="11" t="n">
        <f aca="false">IF(S11="",0,S11)-ROW()/1000</f>
        <v>8.989</v>
      </c>
    </row>
    <row r="12" customFormat="false" ht="150" hidden="false" customHeight="true" outlineLevel="0" collapsed="false">
      <c r="B12" s="12" t="s">
        <v>162</v>
      </c>
      <c r="C12" s="13" t="s">
        <v>149</v>
      </c>
      <c r="D12" s="12" t="s">
        <v>163</v>
      </c>
      <c r="E12" s="13" t="s">
        <v>164</v>
      </c>
      <c r="F12" s="13" t="s">
        <v>165</v>
      </c>
      <c r="G12" s="13" t="s">
        <v>166</v>
      </c>
      <c r="H12" s="14" t="s">
        <v>167</v>
      </c>
      <c r="I12" s="13" t="s">
        <v>168</v>
      </c>
      <c r="J12" s="13" t="s">
        <v>169</v>
      </c>
      <c r="K12" s="13" t="s">
        <v>170</v>
      </c>
      <c r="L12" s="14" t="s">
        <v>142</v>
      </c>
      <c r="M12" s="15" t="s">
        <v>65</v>
      </c>
      <c r="N12" s="13" t="s">
        <v>171</v>
      </c>
      <c r="O12" s="15" t="s">
        <v>83</v>
      </c>
      <c r="P12" s="15" t="s">
        <v>98</v>
      </c>
      <c r="Q12" s="15" t="n">
        <v>3</v>
      </c>
      <c r="R12" s="14" t="n">
        <f aca="false">IF(M12="Alta",3,IF(M12="Media",2,IF(M12="Baja",1,"")))</f>
        <v>3</v>
      </c>
      <c r="S12" s="16" t="n">
        <f aca="false">IF(OR(R12="",Q12=""),"",R12*Q12)</f>
        <v>9</v>
      </c>
      <c r="T12" s="13" t="s">
        <v>172</v>
      </c>
      <c r="U12" s="17" t="s">
        <v>85</v>
      </c>
      <c r="V12" s="13" t="s">
        <v>173</v>
      </c>
      <c r="W12" s="13" t="s">
        <v>174</v>
      </c>
      <c r="X12" s="11" t="n">
        <f aca="false">IF(S12="",0,S12)-ROW()/1000</f>
        <v>8.988</v>
      </c>
    </row>
    <row r="13" customFormat="false" ht="150" hidden="false" customHeight="true" outlineLevel="0" collapsed="false">
      <c r="B13" s="12" t="s">
        <v>175</v>
      </c>
      <c r="C13" s="13" t="s">
        <v>149</v>
      </c>
      <c r="D13" s="12" t="s">
        <v>176</v>
      </c>
      <c r="E13" s="13" t="s">
        <v>177</v>
      </c>
      <c r="F13" s="13" t="s">
        <v>178</v>
      </c>
      <c r="G13" s="13" t="s">
        <v>179</v>
      </c>
      <c r="H13" s="14" t="s">
        <v>123</v>
      </c>
      <c r="I13" s="13" t="s">
        <v>180</v>
      </c>
      <c r="J13" s="13" t="s">
        <v>181</v>
      </c>
      <c r="K13" s="13" t="s">
        <v>182</v>
      </c>
      <c r="L13" s="14" t="s">
        <v>127</v>
      </c>
      <c r="M13" s="15" t="s">
        <v>128</v>
      </c>
      <c r="N13" s="13" t="s">
        <v>183</v>
      </c>
      <c r="O13" s="15" t="s">
        <v>184</v>
      </c>
      <c r="P13" s="15" t="s">
        <v>185</v>
      </c>
      <c r="Q13" s="15" t="n">
        <v>1</v>
      </c>
      <c r="R13" s="14" t="n">
        <f aca="false">IF(M13="Alta",3,IF(M13="Media",2,IF(M13="Baja",1,"")))</f>
        <v>2</v>
      </c>
      <c r="S13" s="16" t="n">
        <f aca="false">IF(OR(R13="",Q13=""),"",R13*Q13)</f>
        <v>2</v>
      </c>
      <c r="T13" s="13" t="s">
        <v>186</v>
      </c>
      <c r="U13" s="17" t="s">
        <v>131</v>
      </c>
      <c r="V13" s="13" t="s">
        <v>187</v>
      </c>
      <c r="W13" s="13" t="s">
        <v>188</v>
      </c>
      <c r="X13" s="11" t="n">
        <f aca="false">IF(S13="",0,S13)-ROW()/1000</f>
        <v>1.987</v>
      </c>
    </row>
    <row r="14" customFormat="false" ht="150" hidden="false" customHeight="true" outlineLevel="0" collapsed="false">
      <c r="B14" s="12" t="s">
        <v>189</v>
      </c>
      <c r="C14" s="13" t="s">
        <v>149</v>
      </c>
      <c r="D14" s="12" t="s">
        <v>190</v>
      </c>
      <c r="E14" s="13" t="s">
        <v>191</v>
      </c>
      <c r="F14" s="13" t="s">
        <v>192</v>
      </c>
      <c r="G14" s="13" t="s">
        <v>193</v>
      </c>
      <c r="H14" s="14" t="s">
        <v>194</v>
      </c>
      <c r="I14" s="13" t="s">
        <v>195</v>
      </c>
      <c r="J14" s="13" t="s">
        <v>196</v>
      </c>
      <c r="K14" s="13" t="s">
        <v>197</v>
      </c>
      <c r="L14" s="14" t="s">
        <v>142</v>
      </c>
      <c r="M14" s="15" t="s">
        <v>128</v>
      </c>
      <c r="N14" s="13" t="s">
        <v>198</v>
      </c>
      <c r="O14" s="15" t="s">
        <v>184</v>
      </c>
      <c r="P14" s="15" t="s">
        <v>185</v>
      </c>
      <c r="Q14" s="15" t="n">
        <v>1</v>
      </c>
      <c r="R14" s="14" t="n">
        <f aca="false">IF(M14="Alta",3,IF(M14="Media",2,IF(M14="Baja",1,"")))</f>
        <v>2</v>
      </c>
      <c r="S14" s="16" t="n">
        <f aca="false">IF(OR(R14="",Q14=""),"",R14*Q14)</f>
        <v>2</v>
      </c>
      <c r="T14" s="13" t="s">
        <v>199</v>
      </c>
      <c r="U14" s="17" t="s">
        <v>131</v>
      </c>
      <c r="V14" s="13" t="s">
        <v>200</v>
      </c>
      <c r="W14" s="13" t="s">
        <v>201</v>
      </c>
      <c r="X14" s="11" t="n">
        <f aca="false">IF(S14="",0,S14)-ROW()/1000</f>
        <v>1.986</v>
      </c>
    </row>
    <row r="15" customFormat="false" ht="150" hidden="false" customHeight="true" outlineLevel="0" collapsed="false">
      <c r="B15" s="12" t="s">
        <v>202</v>
      </c>
      <c r="C15" s="13" t="s">
        <v>203</v>
      </c>
      <c r="D15" s="12" t="s">
        <v>204</v>
      </c>
      <c r="E15" s="13" t="s">
        <v>205</v>
      </c>
      <c r="F15" s="13" t="s">
        <v>206</v>
      </c>
      <c r="G15" s="13" t="s">
        <v>207</v>
      </c>
      <c r="H15" s="14" t="s">
        <v>208</v>
      </c>
      <c r="I15" s="13" t="s">
        <v>209</v>
      </c>
      <c r="J15" s="13" t="s">
        <v>210</v>
      </c>
      <c r="K15" s="13" t="s">
        <v>211</v>
      </c>
      <c r="L15" s="14" t="s">
        <v>142</v>
      </c>
      <c r="M15" s="15" t="s">
        <v>65</v>
      </c>
      <c r="N15" s="13" t="s">
        <v>212</v>
      </c>
      <c r="O15" s="15" t="s">
        <v>83</v>
      </c>
      <c r="P15" s="15" t="s">
        <v>98</v>
      </c>
      <c r="Q15" s="15" t="n">
        <v>3</v>
      </c>
      <c r="R15" s="14" t="n">
        <f aca="false">IF(M15="Alta",3,IF(M15="Media",2,IF(M15="Baja",1,"")))</f>
        <v>3</v>
      </c>
      <c r="S15" s="16" t="n">
        <f aca="false">IF(OR(R15="",Q15=""),"",R15*Q15)</f>
        <v>9</v>
      </c>
      <c r="T15" s="13" t="s">
        <v>213</v>
      </c>
      <c r="U15" s="17" t="s">
        <v>115</v>
      </c>
      <c r="V15" s="13" t="s">
        <v>214</v>
      </c>
      <c r="W15" s="13" t="s">
        <v>215</v>
      </c>
      <c r="X15" s="11" t="n">
        <f aca="false">IF(S15="",0,S15)-ROW()/1000</f>
        <v>8.985</v>
      </c>
    </row>
    <row r="16" customFormat="false" ht="150" hidden="false" customHeight="true" outlineLevel="0" collapsed="false">
      <c r="B16" s="12" t="s">
        <v>216</v>
      </c>
      <c r="C16" s="13" t="s">
        <v>203</v>
      </c>
      <c r="D16" s="12" t="s">
        <v>217</v>
      </c>
      <c r="E16" s="13" t="s">
        <v>218</v>
      </c>
      <c r="F16" s="13" t="s">
        <v>219</v>
      </c>
      <c r="G16" s="13" t="s">
        <v>220</v>
      </c>
      <c r="H16" s="14" t="s">
        <v>221</v>
      </c>
      <c r="I16" s="13" t="s">
        <v>222</v>
      </c>
      <c r="J16" s="13" t="s">
        <v>223</v>
      </c>
      <c r="K16" s="13" t="s">
        <v>224</v>
      </c>
      <c r="L16" s="14" t="s">
        <v>127</v>
      </c>
      <c r="M16" s="15" t="s">
        <v>128</v>
      </c>
      <c r="N16" s="13" t="s">
        <v>225</v>
      </c>
      <c r="O16" s="15" t="s">
        <v>83</v>
      </c>
      <c r="P16" s="15" t="s">
        <v>68</v>
      </c>
      <c r="Q16" s="15" t="n">
        <v>2</v>
      </c>
      <c r="R16" s="14" t="n">
        <f aca="false">IF(M16="Alta",3,IF(M16="Media",2,IF(M16="Baja",1,"")))</f>
        <v>2</v>
      </c>
      <c r="S16" s="16" t="n">
        <f aca="false">IF(OR(R16="",Q16=""),"",R16*Q16)</f>
        <v>4</v>
      </c>
      <c r="T16" s="13" t="s">
        <v>226</v>
      </c>
      <c r="U16" s="17" t="s">
        <v>100</v>
      </c>
      <c r="V16" s="13" t="s">
        <v>227</v>
      </c>
      <c r="W16" s="13" t="s">
        <v>228</v>
      </c>
      <c r="X16" s="11" t="n">
        <f aca="false">IF(S16="",0,S16)-ROW()/1000</f>
        <v>3.984</v>
      </c>
    </row>
    <row r="17" customFormat="false" ht="150" hidden="false" customHeight="true" outlineLevel="0" collapsed="false">
      <c r="B17" s="12" t="s">
        <v>229</v>
      </c>
      <c r="C17" s="13" t="s">
        <v>230</v>
      </c>
      <c r="D17" s="12" t="s">
        <v>231</v>
      </c>
      <c r="E17" s="13" t="s">
        <v>232</v>
      </c>
      <c r="F17" s="13" t="s">
        <v>233</v>
      </c>
      <c r="G17" s="13" t="s">
        <v>234</v>
      </c>
      <c r="H17" s="14" t="s">
        <v>167</v>
      </c>
      <c r="I17" s="13" t="s">
        <v>235</v>
      </c>
      <c r="J17" s="13" t="s">
        <v>236</v>
      </c>
      <c r="K17" s="13" t="s">
        <v>237</v>
      </c>
      <c r="L17" s="14" t="s">
        <v>142</v>
      </c>
      <c r="M17" s="15" t="s">
        <v>65</v>
      </c>
      <c r="N17" s="13" t="s">
        <v>171</v>
      </c>
      <c r="O17" s="15" t="s">
        <v>83</v>
      </c>
      <c r="P17" s="15" t="s">
        <v>98</v>
      </c>
      <c r="Q17" s="15" t="n">
        <v>3</v>
      </c>
      <c r="R17" s="14" t="n">
        <f aca="false">IF(M17="Alta",3,IF(M17="Media",2,IF(M17="Baja",1,"")))</f>
        <v>3</v>
      </c>
      <c r="S17" s="16" t="n">
        <f aca="false">IF(OR(R17="",Q17=""),"",R17*Q17)</f>
        <v>9</v>
      </c>
      <c r="T17" s="13" t="s">
        <v>238</v>
      </c>
      <c r="U17" s="17" t="s">
        <v>239</v>
      </c>
      <c r="V17" s="13" t="s">
        <v>240</v>
      </c>
      <c r="W17" s="13" t="s">
        <v>241</v>
      </c>
      <c r="X17" s="11" t="n">
        <f aca="false">IF(S17="",0,S17)-ROW()/1000</f>
        <v>8.983</v>
      </c>
    </row>
    <row r="18" customFormat="false" ht="150" hidden="false" customHeight="true" outlineLevel="0" collapsed="false">
      <c r="B18" s="12" t="s">
        <v>242</v>
      </c>
      <c r="C18" s="13" t="s">
        <v>230</v>
      </c>
      <c r="D18" s="12" t="s">
        <v>243</v>
      </c>
      <c r="E18" s="13" t="s">
        <v>244</v>
      </c>
      <c r="F18" s="13" t="s">
        <v>245</v>
      </c>
      <c r="G18" s="13" t="s">
        <v>246</v>
      </c>
      <c r="H18" s="14" t="s">
        <v>247</v>
      </c>
      <c r="I18" s="13" t="s">
        <v>248</v>
      </c>
      <c r="J18" s="13" t="s">
        <v>249</v>
      </c>
      <c r="K18" s="13" t="s">
        <v>250</v>
      </c>
      <c r="L18" s="14" t="s">
        <v>142</v>
      </c>
      <c r="M18" s="15" t="s">
        <v>65</v>
      </c>
      <c r="N18" s="13" t="s">
        <v>251</v>
      </c>
      <c r="O18" s="15" t="s">
        <v>83</v>
      </c>
      <c r="P18" s="15" t="s">
        <v>98</v>
      </c>
      <c r="Q18" s="15" t="n">
        <v>2</v>
      </c>
      <c r="R18" s="14" t="n">
        <f aca="false">IF(M18="Alta",3,IF(M18="Media",2,IF(M18="Baja",1,"")))</f>
        <v>3</v>
      </c>
      <c r="S18" s="16" t="n">
        <f aca="false">IF(OR(R18="",Q18=""),"",R18*Q18)</f>
        <v>6</v>
      </c>
      <c r="T18" s="13" t="s">
        <v>252</v>
      </c>
      <c r="U18" s="17" t="s">
        <v>239</v>
      </c>
      <c r="V18" s="13" t="s">
        <v>253</v>
      </c>
      <c r="W18" s="13" t="s">
        <v>254</v>
      </c>
      <c r="X18" s="11" t="n">
        <f aca="false">IF(S18="",0,S18)-ROW()/1000</f>
        <v>5.982</v>
      </c>
    </row>
    <row r="19" customFormat="false" ht="150" hidden="false" customHeight="true" outlineLevel="0" collapsed="false">
      <c r="B19" s="12" t="s">
        <v>255</v>
      </c>
      <c r="C19" s="13" t="s">
        <v>230</v>
      </c>
      <c r="D19" s="12" t="s">
        <v>256</v>
      </c>
      <c r="E19" s="13" t="s">
        <v>257</v>
      </c>
      <c r="F19" s="13" t="s">
        <v>258</v>
      </c>
      <c r="G19" s="13" t="s">
        <v>259</v>
      </c>
      <c r="H19" s="14" t="s">
        <v>167</v>
      </c>
      <c r="I19" s="13" t="s">
        <v>260</v>
      </c>
      <c r="J19" s="13" t="s">
        <v>261</v>
      </c>
      <c r="K19" s="13" t="s">
        <v>262</v>
      </c>
      <c r="L19" s="14" t="s">
        <v>127</v>
      </c>
      <c r="M19" s="15" t="s">
        <v>65</v>
      </c>
      <c r="N19" s="13" t="s">
        <v>263</v>
      </c>
      <c r="O19" s="15" t="s">
        <v>83</v>
      </c>
      <c r="P19" s="15" t="s">
        <v>98</v>
      </c>
      <c r="Q19" s="15" t="n">
        <v>2</v>
      </c>
      <c r="R19" s="14" t="n">
        <f aca="false">IF(M19="Alta",3,IF(M19="Media",2,IF(M19="Baja",1,"")))</f>
        <v>3</v>
      </c>
      <c r="S19" s="16" t="n">
        <f aca="false">IF(OR(R19="",Q19=""),"",R19*Q19)</f>
        <v>6</v>
      </c>
      <c r="T19" s="13" t="s">
        <v>264</v>
      </c>
      <c r="U19" s="17" t="s">
        <v>100</v>
      </c>
      <c r="V19" s="13" t="s">
        <v>265</v>
      </c>
      <c r="W19" s="13" t="s">
        <v>266</v>
      </c>
      <c r="X19" s="11" t="n">
        <f aca="false">IF(S19="",0,S19)-ROW()/1000</f>
        <v>5.981</v>
      </c>
    </row>
    <row r="20" customFormat="false" ht="150" hidden="false" customHeight="true" outlineLevel="0" collapsed="false">
      <c r="B20" s="12" t="s">
        <v>267</v>
      </c>
      <c r="C20" s="13" t="s">
        <v>230</v>
      </c>
      <c r="D20" s="12" t="s">
        <v>268</v>
      </c>
      <c r="E20" s="13" t="s">
        <v>269</v>
      </c>
      <c r="F20" s="13" t="s">
        <v>270</v>
      </c>
      <c r="G20" s="13" t="s">
        <v>271</v>
      </c>
      <c r="H20" s="14" t="s">
        <v>272</v>
      </c>
      <c r="I20" s="13" t="s">
        <v>273</v>
      </c>
      <c r="J20" s="13" t="s">
        <v>274</v>
      </c>
      <c r="K20" s="13" t="s">
        <v>275</v>
      </c>
      <c r="L20" s="14" t="s">
        <v>127</v>
      </c>
      <c r="M20" s="15" t="s">
        <v>128</v>
      </c>
      <c r="N20" s="13" t="s">
        <v>276</v>
      </c>
      <c r="O20" s="15" t="s">
        <v>184</v>
      </c>
      <c r="P20" s="15" t="s">
        <v>98</v>
      </c>
      <c r="Q20" s="15" t="n">
        <v>2</v>
      </c>
      <c r="R20" s="14" t="n">
        <f aca="false">IF(M20="Alta",3,IF(M20="Media",2,IF(M20="Baja",1,"")))</f>
        <v>2</v>
      </c>
      <c r="S20" s="16" t="n">
        <f aca="false">IF(OR(R20="",Q20=""),"",R20*Q20)</f>
        <v>4</v>
      </c>
      <c r="T20" s="13" t="s">
        <v>252</v>
      </c>
      <c r="U20" s="17" t="s">
        <v>239</v>
      </c>
      <c r="V20" s="13" t="s">
        <v>277</v>
      </c>
      <c r="W20" s="13" t="s">
        <v>278</v>
      </c>
      <c r="X20" s="11" t="n">
        <f aca="false">IF(S20="",0,S20)-ROW()/1000</f>
        <v>3.98</v>
      </c>
    </row>
    <row r="21" customFormat="false" ht="150" hidden="false" customHeight="true" outlineLevel="0" collapsed="false">
      <c r="B21" s="12" t="s">
        <v>279</v>
      </c>
      <c r="C21" s="13" t="s">
        <v>280</v>
      </c>
      <c r="D21" s="12" t="s">
        <v>281</v>
      </c>
      <c r="E21" s="13" t="s">
        <v>282</v>
      </c>
      <c r="F21" s="13" t="s">
        <v>283</v>
      </c>
      <c r="G21" s="13" t="s">
        <v>284</v>
      </c>
      <c r="H21" s="14" t="s">
        <v>167</v>
      </c>
      <c r="I21" s="13" t="s">
        <v>285</v>
      </c>
      <c r="J21" s="13" t="s">
        <v>286</v>
      </c>
      <c r="K21" s="13" t="s">
        <v>287</v>
      </c>
      <c r="L21" s="14" t="s">
        <v>127</v>
      </c>
      <c r="M21" s="15" t="s">
        <v>65</v>
      </c>
      <c r="N21" s="13" t="s">
        <v>288</v>
      </c>
      <c r="O21" s="15" t="s">
        <v>184</v>
      </c>
      <c r="P21" s="15" t="s">
        <v>98</v>
      </c>
      <c r="Q21" s="15" t="n">
        <v>2</v>
      </c>
      <c r="R21" s="14" t="n">
        <f aca="false">IF(M21="Alta",3,IF(M21="Media",2,IF(M21="Baja",1,"")))</f>
        <v>3</v>
      </c>
      <c r="S21" s="16" t="n">
        <f aca="false">IF(OR(R21="",Q21=""),"",R21*Q21)</f>
        <v>6</v>
      </c>
      <c r="T21" s="13" t="s">
        <v>289</v>
      </c>
      <c r="U21" s="17" t="s">
        <v>100</v>
      </c>
      <c r="V21" s="13" t="s">
        <v>290</v>
      </c>
      <c r="W21" s="13" t="s">
        <v>291</v>
      </c>
      <c r="X21" s="11" t="n">
        <f aca="false">IF(S21="",0,S21)-ROW()/1000</f>
        <v>5.979</v>
      </c>
    </row>
    <row r="22" customFormat="false" ht="150" hidden="false" customHeight="true" outlineLevel="0" collapsed="false">
      <c r="B22" s="12" t="s">
        <v>292</v>
      </c>
      <c r="C22" s="13" t="s">
        <v>280</v>
      </c>
      <c r="D22" s="12" t="s">
        <v>293</v>
      </c>
      <c r="E22" s="13" t="s">
        <v>294</v>
      </c>
      <c r="F22" s="13" t="s">
        <v>295</v>
      </c>
      <c r="G22" s="13" t="s">
        <v>296</v>
      </c>
      <c r="H22" s="14" t="s">
        <v>194</v>
      </c>
      <c r="I22" s="13" t="s">
        <v>297</v>
      </c>
      <c r="J22" s="13" t="s">
        <v>298</v>
      </c>
      <c r="K22" s="13" t="s">
        <v>299</v>
      </c>
      <c r="L22" s="14" t="s">
        <v>127</v>
      </c>
      <c r="M22" s="15" t="s">
        <v>128</v>
      </c>
      <c r="N22" s="13" t="s">
        <v>300</v>
      </c>
      <c r="O22" s="15" t="s">
        <v>184</v>
      </c>
      <c r="P22" s="15" t="s">
        <v>301</v>
      </c>
      <c r="Q22" s="15" t="n">
        <v>1</v>
      </c>
      <c r="R22" s="14" t="n">
        <f aca="false">IF(M22="Alta",3,IF(M22="Media",2,IF(M22="Baja",1,"")))</f>
        <v>2</v>
      </c>
      <c r="S22" s="16" t="n">
        <f aca="false">IF(OR(R22="",Q22=""),"",R22*Q22)</f>
        <v>2</v>
      </c>
      <c r="T22" s="13" t="s">
        <v>302</v>
      </c>
      <c r="U22" s="17" t="s">
        <v>239</v>
      </c>
      <c r="V22" s="13" t="s">
        <v>303</v>
      </c>
      <c r="W22" s="13" t="s">
        <v>304</v>
      </c>
      <c r="X22" s="11" t="n">
        <f aca="false">IF(S22="",0,S22)-ROW()/1000</f>
        <v>1.978</v>
      </c>
    </row>
    <row r="23" customFormat="false" ht="150" hidden="false" customHeight="true" outlineLevel="0" collapsed="false">
      <c r="B23" s="12" t="s">
        <v>305</v>
      </c>
      <c r="C23" s="13" t="s">
        <v>280</v>
      </c>
      <c r="D23" s="12" t="s">
        <v>306</v>
      </c>
      <c r="E23" s="13" t="s">
        <v>307</v>
      </c>
      <c r="F23" s="13" t="s">
        <v>308</v>
      </c>
      <c r="G23" s="13" t="s">
        <v>309</v>
      </c>
      <c r="H23" s="14" t="s">
        <v>167</v>
      </c>
      <c r="I23" s="13" t="s">
        <v>310</v>
      </c>
      <c r="J23" s="13" t="s">
        <v>311</v>
      </c>
      <c r="K23" s="13" t="s">
        <v>312</v>
      </c>
      <c r="L23" s="14" t="s">
        <v>127</v>
      </c>
      <c r="M23" s="15" t="s">
        <v>65</v>
      </c>
      <c r="N23" s="13" t="s">
        <v>313</v>
      </c>
      <c r="O23" s="15" t="s">
        <v>83</v>
      </c>
      <c r="P23" s="15" t="s">
        <v>98</v>
      </c>
      <c r="Q23" s="15" t="n">
        <v>2</v>
      </c>
      <c r="R23" s="14" t="n">
        <f aca="false">IF(M23="Alta",3,IF(M23="Media",2,IF(M23="Baja",1,"")))</f>
        <v>3</v>
      </c>
      <c r="S23" s="16" t="n">
        <f aca="false">IF(OR(R23="",Q23=""),"",R23*Q23)</f>
        <v>6</v>
      </c>
      <c r="T23" s="13" t="s">
        <v>314</v>
      </c>
      <c r="U23" s="17" t="s">
        <v>239</v>
      </c>
      <c r="V23" s="13" t="s">
        <v>315</v>
      </c>
      <c r="W23" s="13" t="s">
        <v>316</v>
      </c>
      <c r="X23" s="11" t="n">
        <f aca="false">IF(S23="",0,S23)-ROW()/1000</f>
        <v>5.977</v>
      </c>
    </row>
    <row r="24" customFormat="false" ht="150" hidden="false" customHeight="true" outlineLevel="0" collapsed="false">
      <c r="B24" s="12" t="s">
        <v>317</v>
      </c>
      <c r="C24" s="13" t="s">
        <v>318</v>
      </c>
      <c r="D24" s="12" t="s">
        <v>319</v>
      </c>
      <c r="E24" s="13" t="s">
        <v>320</v>
      </c>
      <c r="F24" s="13" t="s">
        <v>321</v>
      </c>
      <c r="G24" s="13" t="s">
        <v>322</v>
      </c>
      <c r="H24" s="14" t="s">
        <v>167</v>
      </c>
      <c r="I24" s="13" t="s">
        <v>323</v>
      </c>
      <c r="J24" s="13" t="s">
        <v>324</v>
      </c>
      <c r="K24" s="13" t="s">
        <v>325</v>
      </c>
      <c r="L24" s="14" t="s">
        <v>64</v>
      </c>
      <c r="M24" s="15" t="s">
        <v>65</v>
      </c>
      <c r="N24" s="13" t="s">
        <v>326</v>
      </c>
      <c r="O24" s="15" t="s">
        <v>83</v>
      </c>
      <c r="P24" s="15" t="s">
        <v>98</v>
      </c>
      <c r="Q24" s="15" t="n">
        <v>3</v>
      </c>
      <c r="R24" s="14" t="n">
        <f aca="false">IF(M24="Alta",3,IF(M24="Media",2,IF(M24="Baja",1,"")))</f>
        <v>3</v>
      </c>
      <c r="S24" s="16" t="n">
        <f aca="false">IF(OR(R24="",Q24=""),"",R24*Q24)</f>
        <v>9</v>
      </c>
      <c r="T24" s="13" t="s">
        <v>302</v>
      </c>
      <c r="U24" s="17" t="s">
        <v>100</v>
      </c>
      <c r="V24" s="13" t="s">
        <v>327</v>
      </c>
      <c r="W24" s="13" t="s">
        <v>328</v>
      </c>
      <c r="X24" s="11" t="n">
        <f aca="false">IF(S24="",0,S24)-ROW()/1000</f>
        <v>8.976</v>
      </c>
    </row>
    <row r="25" customFormat="false" ht="150" hidden="false" customHeight="true" outlineLevel="0" collapsed="false">
      <c r="B25" s="12" t="s">
        <v>329</v>
      </c>
      <c r="C25" s="13" t="s">
        <v>318</v>
      </c>
      <c r="D25" s="12" t="s">
        <v>330</v>
      </c>
      <c r="E25" s="13" t="s">
        <v>331</v>
      </c>
      <c r="F25" s="13" t="s">
        <v>332</v>
      </c>
      <c r="G25" s="13" t="s">
        <v>333</v>
      </c>
      <c r="H25" s="14" t="s">
        <v>334</v>
      </c>
      <c r="I25" s="13" t="s">
        <v>335</v>
      </c>
      <c r="J25" s="13" t="s">
        <v>336</v>
      </c>
      <c r="K25" s="13" t="s">
        <v>337</v>
      </c>
      <c r="L25" s="14" t="s">
        <v>127</v>
      </c>
      <c r="M25" s="15" t="s">
        <v>65</v>
      </c>
      <c r="N25" s="13" t="s">
        <v>338</v>
      </c>
      <c r="O25" s="15" t="s">
        <v>67</v>
      </c>
      <c r="P25" s="15" t="s">
        <v>98</v>
      </c>
      <c r="Q25" s="15" t="n">
        <v>1</v>
      </c>
      <c r="R25" s="14" t="n">
        <f aca="false">IF(M25="Alta",3,IF(M25="Media",2,IF(M25="Baja",1,"")))</f>
        <v>3</v>
      </c>
      <c r="S25" s="16" t="n">
        <f aca="false">IF(OR(R25="",Q25=""),"",R25*Q25)</f>
        <v>3</v>
      </c>
      <c r="T25" s="13" t="s">
        <v>339</v>
      </c>
      <c r="U25" s="17" t="s">
        <v>131</v>
      </c>
      <c r="V25" s="13" t="s">
        <v>340</v>
      </c>
      <c r="W25" s="13" t="s">
        <v>341</v>
      </c>
      <c r="X25" s="11" t="n">
        <f aca="false">IF(S25="",0,S25)-ROW()/1000</f>
        <v>2.975</v>
      </c>
    </row>
    <row r="26" customFormat="false" ht="150" hidden="false" customHeight="true" outlineLevel="0" collapsed="false">
      <c r="B26" s="12" t="s">
        <v>342</v>
      </c>
      <c r="C26" s="13" t="s">
        <v>343</v>
      </c>
      <c r="D26" s="12" t="s">
        <v>344</v>
      </c>
      <c r="E26" s="13" t="s">
        <v>345</v>
      </c>
      <c r="F26" s="13" t="s">
        <v>346</v>
      </c>
      <c r="G26" s="13" t="s">
        <v>347</v>
      </c>
      <c r="H26" s="14" t="s">
        <v>348</v>
      </c>
      <c r="I26" s="13" t="s">
        <v>349</v>
      </c>
      <c r="J26" s="13" t="s">
        <v>350</v>
      </c>
      <c r="K26" s="13" t="s">
        <v>351</v>
      </c>
      <c r="L26" s="14" t="s">
        <v>127</v>
      </c>
      <c r="M26" s="15" t="s">
        <v>65</v>
      </c>
      <c r="N26" s="13" t="s">
        <v>352</v>
      </c>
      <c r="O26" s="15" t="s">
        <v>67</v>
      </c>
      <c r="P26" s="15" t="s">
        <v>98</v>
      </c>
      <c r="Q26" s="15" t="n">
        <v>3</v>
      </c>
      <c r="R26" s="14" t="n">
        <f aca="false">IF(M26="Alta",3,IF(M26="Media",2,IF(M26="Baja",1,"")))</f>
        <v>3</v>
      </c>
      <c r="S26" s="16" t="n">
        <f aca="false">IF(OR(R26="",Q26=""),"",R26*Q26)</f>
        <v>9</v>
      </c>
      <c r="T26" s="13" t="s">
        <v>353</v>
      </c>
      <c r="U26" s="17" t="s">
        <v>85</v>
      </c>
      <c r="V26" s="13" t="s">
        <v>354</v>
      </c>
      <c r="W26" s="13" t="s">
        <v>355</v>
      </c>
      <c r="X26" s="11" t="n">
        <f aca="false">IF(S26="",0,S26)-ROW()/1000</f>
        <v>8.974</v>
      </c>
    </row>
    <row r="27" customFormat="false" ht="150" hidden="false" customHeight="true" outlineLevel="0" collapsed="false">
      <c r="B27" s="12" t="s">
        <v>356</v>
      </c>
      <c r="C27" s="13" t="s">
        <v>343</v>
      </c>
      <c r="D27" s="12" t="s">
        <v>357</v>
      </c>
      <c r="E27" s="13" t="s">
        <v>358</v>
      </c>
      <c r="F27" s="13" t="s">
        <v>359</v>
      </c>
      <c r="G27" s="13" t="s">
        <v>360</v>
      </c>
      <c r="H27" s="14" t="s">
        <v>247</v>
      </c>
      <c r="I27" s="13" t="s">
        <v>361</v>
      </c>
      <c r="J27" s="13" t="s">
        <v>362</v>
      </c>
      <c r="K27" s="13" t="s">
        <v>363</v>
      </c>
      <c r="L27" s="14" t="s">
        <v>127</v>
      </c>
      <c r="M27" s="15" t="s">
        <v>65</v>
      </c>
      <c r="N27" s="13" t="s">
        <v>364</v>
      </c>
      <c r="O27" s="15" t="s">
        <v>83</v>
      </c>
      <c r="P27" s="15" t="s">
        <v>68</v>
      </c>
      <c r="Q27" s="15" t="n">
        <v>2</v>
      </c>
      <c r="R27" s="14" t="n">
        <f aca="false">IF(M27="Alta",3,IF(M27="Media",2,IF(M27="Baja",1,"")))</f>
        <v>3</v>
      </c>
      <c r="S27" s="16" t="n">
        <f aca="false">IF(OR(R27="",Q27=""),"",R27*Q27)</f>
        <v>6</v>
      </c>
      <c r="T27" s="13" t="s">
        <v>365</v>
      </c>
      <c r="U27" s="17" t="s">
        <v>85</v>
      </c>
      <c r="V27" s="13" t="s">
        <v>366</v>
      </c>
      <c r="W27" s="13" t="s">
        <v>367</v>
      </c>
      <c r="X27" s="11" t="n">
        <f aca="false">IF(S27="",0,S27)-ROW()/1000</f>
        <v>5.973</v>
      </c>
    </row>
    <row r="28" customFormat="false" ht="150" hidden="false" customHeight="true" outlineLevel="0" collapsed="false">
      <c r="B28" s="12" t="s">
        <v>368</v>
      </c>
      <c r="C28" s="13" t="s">
        <v>343</v>
      </c>
      <c r="D28" s="12" t="s">
        <v>369</v>
      </c>
      <c r="E28" s="13" t="s">
        <v>370</v>
      </c>
      <c r="F28" s="13" t="s">
        <v>371</v>
      </c>
      <c r="G28" s="13" t="s">
        <v>372</v>
      </c>
      <c r="H28" s="14" t="s">
        <v>93</v>
      </c>
      <c r="I28" s="13" t="s">
        <v>373</v>
      </c>
      <c r="J28" s="13" t="s">
        <v>374</v>
      </c>
      <c r="K28" s="13" t="s">
        <v>375</v>
      </c>
      <c r="L28" s="14" t="s">
        <v>127</v>
      </c>
      <c r="M28" s="15" t="s">
        <v>65</v>
      </c>
      <c r="N28" s="13" t="s">
        <v>376</v>
      </c>
      <c r="O28" s="15" t="s">
        <v>67</v>
      </c>
      <c r="P28" s="15" t="s">
        <v>144</v>
      </c>
      <c r="Q28" s="15" t="n">
        <v>1</v>
      </c>
      <c r="R28" s="14" t="n">
        <f aca="false">IF(M28="Alta",3,IF(M28="Media",2,IF(M28="Baja",1,"")))</f>
        <v>3</v>
      </c>
      <c r="S28" s="16" t="n">
        <f aca="false">IF(OR(R28="",Q28=""),"",R28*Q28)</f>
        <v>3</v>
      </c>
      <c r="T28" s="13" t="s">
        <v>377</v>
      </c>
      <c r="U28" s="17" t="s">
        <v>239</v>
      </c>
      <c r="V28" s="13" t="s">
        <v>378</v>
      </c>
      <c r="W28" s="13" t="s">
        <v>379</v>
      </c>
      <c r="X28" s="11" t="n">
        <f aca="false">IF(S28="",0,S28)-ROW()/1000</f>
        <v>2.972</v>
      </c>
    </row>
    <row r="29" customFormat="false" ht="150" hidden="false" customHeight="true" outlineLevel="0" collapsed="false">
      <c r="B29" s="12" t="s">
        <v>380</v>
      </c>
      <c r="C29" s="13" t="s">
        <v>343</v>
      </c>
      <c r="D29" s="12" t="s">
        <v>381</v>
      </c>
      <c r="E29" s="13" t="s">
        <v>382</v>
      </c>
      <c r="F29" s="13" t="s">
        <v>383</v>
      </c>
      <c r="G29" s="13" t="s">
        <v>384</v>
      </c>
      <c r="H29" s="14" t="s">
        <v>348</v>
      </c>
      <c r="I29" s="13" t="s">
        <v>385</v>
      </c>
      <c r="J29" s="13" t="s">
        <v>386</v>
      </c>
      <c r="K29" s="13" t="s">
        <v>387</v>
      </c>
      <c r="L29" s="14" t="s">
        <v>64</v>
      </c>
      <c r="M29" s="15" t="s">
        <v>65</v>
      </c>
      <c r="N29" s="13" t="s">
        <v>388</v>
      </c>
      <c r="O29" s="15" t="s">
        <v>67</v>
      </c>
      <c r="P29" s="15" t="s">
        <v>98</v>
      </c>
      <c r="Q29" s="15" t="n">
        <v>2</v>
      </c>
      <c r="R29" s="14" t="n">
        <f aca="false">IF(M29="Alta",3,IF(M29="Media",2,IF(M29="Baja",1,"")))</f>
        <v>3</v>
      </c>
      <c r="S29" s="16" t="n">
        <f aca="false">IF(OR(R29="",Q29=""),"",R29*Q29)</f>
        <v>6</v>
      </c>
      <c r="T29" s="13" t="s">
        <v>389</v>
      </c>
      <c r="U29" s="17" t="s">
        <v>85</v>
      </c>
      <c r="V29" s="13" t="s">
        <v>390</v>
      </c>
      <c r="W29" s="13" t="s">
        <v>391</v>
      </c>
      <c r="X29" s="11" t="n">
        <f aca="false">IF(S29="",0,S29)-ROW()/1000</f>
        <v>5.971</v>
      </c>
    </row>
    <row r="30" customFormat="false" ht="150" hidden="false" customHeight="true" outlineLevel="0" collapsed="false">
      <c r="B30" s="12" t="s">
        <v>392</v>
      </c>
      <c r="C30" s="13" t="s">
        <v>393</v>
      </c>
      <c r="D30" s="12" t="s">
        <v>394</v>
      </c>
      <c r="E30" s="13" t="s">
        <v>395</v>
      </c>
      <c r="F30" s="13" t="s">
        <v>396</v>
      </c>
      <c r="G30" s="13" t="s">
        <v>397</v>
      </c>
      <c r="H30" s="14" t="s">
        <v>398</v>
      </c>
      <c r="I30" s="13" t="s">
        <v>399</v>
      </c>
      <c r="J30" s="13" t="s">
        <v>400</v>
      </c>
      <c r="K30" s="13" t="s">
        <v>401</v>
      </c>
      <c r="L30" s="14" t="s">
        <v>64</v>
      </c>
      <c r="M30" s="15" t="s">
        <v>128</v>
      </c>
      <c r="N30" s="13" t="s">
        <v>402</v>
      </c>
      <c r="O30" s="15" t="s">
        <v>83</v>
      </c>
      <c r="P30" s="15" t="s">
        <v>98</v>
      </c>
      <c r="Q30" s="15" t="n">
        <v>1</v>
      </c>
      <c r="R30" s="14" t="n">
        <f aca="false">IF(M30="Alta",3,IF(M30="Media",2,IF(M30="Baja",1,"")))</f>
        <v>2</v>
      </c>
      <c r="S30" s="16" t="n">
        <f aca="false">IF(OR(R30="",Q30=""),"",R30*Q30)</f>
        <v>2</v>
      </c>
      <c r="T30" s="13" t="s">
        <v>403</v>
      </c>
      <c r="U30" s="17" t="s">
        <v>115</v>
      </c>
      <c r="V30" s="13" t="s">
        <v>404</v>
      </c>
      <c r="W30" s="13" t="s">
        <v>405</v>
      </c>
      <c r="X30" s="11" t="n">
        <f aca="false">IF(S30="",0,S30)-ROW()/1000</f>
        <v>1.97</v>
      </c>
    </row>
    <row r="31" customFormat="false" ht="150" hidden="false" customHeight="true" outlineLevel="0" collapsed="false">
      <c r="B31" s="12" t="s">
        <v>406</v>
      </c>
      <c r="C31" s="13" t="s">
        <v>393</v>
      </c>
      <c r="D31" s="12" t="s">
        <v>407</v>
      </c>
      <c r="E31" s="13" t="s">
        <v>408</v>
      </c>
      <c r="F31" s="13" t="s">
        <v>409</v>
      </c>
      <c r="G31" s="13" t="s">
        <v>410</v>
      </c>
      <c r="H31" s="14" t="s">
        <v>247</v>
      </c>
      <c r="I31" s="13" t="s">
        <v>411</v>
      </c>
      <c r="J31" s="13" t="s">
        <v>412</v>
      </c>
      <c r="K31" s="13" t="s">
        <v>413</v>
      </c>
      <c r="L31" s="14" t="s">
        <v>127</v>
      </c>
      <c r="M31" s="15" t="s">
        <v>65</v>
      </c>
      <c r="N31" s="13" t="s">
        <v>414</v>
      </c>
      <c r="O31" s="15" t="s">
        <v>67</v>
      </c>
      <c r="P31" s="15" t="s">
        <v>68</v>
      </c>
      <c r="Q31" s="15" t="n">
        <v>2</v>
      </c>
      <c r="R31" s="14" t="n">
        <f aca="false">IF(M31="Alta",3,IF(M31="Media",2,IF(M31="Baja",1,"")))</f>
        <v>3</v>
      </c>
      <c r="S31" s="16" t="n">
        <f aca="false">IF(OR(R31="",Q31=""),"",R31*Q31)</f>
        <v>6</v>
      </c>
      <c r="T31" s="13" t="s">
        <v>264</v>
      </c>
      <c r="U31" s="17" t="s">
        <v>100</v>
      </c>
      <c r="V31" s="13" t="s">
        <v>415</v>
      </c>
      <c r="W31" s="13" t="s">
        <v>416</v>
      </c>
      <c r="X31" s="11" t="n">
        <f aca="false">IF(S31="",0,S31)-ROW()/1000</f>
        <v>5.969</v>
      </c>
    </row>
    <row r="32" customFormat="false" ht="150" hidden="false" customHeight="true" outlineLevel="0" collapsed="false">
      <c r="B32" s="12" t="s">
        <v>417</v>
      </c>
      <c r="C32" s="13" t="s">
        <v>393</v>
      </c>
      <c r="D32" s="12" t="s">
        <v>418</v>
      </c>
      <c r="E32" s="13" t="s">
        <v>419</v>
      </c>
      <c r="F32" s="13" t="s">
        <v>420</v>
      </c>
      <c r="G32" s="13" t="s">
        <v>421</v>
      </c>
      <c r="H32" s="14" t="s">
        <v>167</v>
      </c>
      <c r="I32" s="13" t="s">
        <v>422</v>
      </c>
      <c r="J32" s="13" t="s">
        <v>423</v>
      </c>
      <c r="K32" s="13" t="s">
        <v>424</v>
      </c>
      <c r="L32" s="14" t="s">
        <v>142</v>
      </c>
      <c r="M32" s="15" t="s">
        <v>65</v>
      </c>
      <c r="N32" s="13" t="s">
        <v>425</v>
      </c>
      <c r="O32" s="15" t="s">
        <v>83</v>
      </c>
      <c r="P32" s="15" t="s">
        <v>98</v>
      </c>
      <c r="Q32" s="15" t="n">
        <v>2</v>
      </c>
      <c r="R32" s="14" t="n">
        <f aca="false">IF(M32="Alta",3,IF(M32="Media",2,IF(M32="Baja",1,"")))</f>
        <v>3</v>
      </c>
      <c r="S32" s="16" t="n">
        <f aca="false">IF(OR(R32="",Q32=""),"",R32*Q32)</f>
        <v>6</v>
      </c>
      <c r="T32" s="13" t="s">
        <v>252</v>
      </c>
      <c r="U32" s="17" t="s">
        <v>239</v>
      </c>
      <c r="V32" s="13" t="s">
        <v>426</v>
      </c>
      <c r="W32" s="13" t="s">
        <v>427</v>
      </c>
      <c r="X32" s="11" t="n">
        <f aca="false">IF(S32="",0,S32)-ROW()/1000</f>
        <v>5.968</v>
      </c>
    </row>
    <row r="33" customFormat="false" ht="150" hidden="false" customHeight="true" outlineLevel="0" collapsed="false">
      <c r="B33" s="12" t="s">
        <v>428</v>
      </c>
      <c r="C33" s="13" t="s">
        <v>393</v>
      </c>
      <c r="D33" s="12" t="s">
        <v>429</v>
      </c>
      <c r="E33" s="13" t="s">
        <v>430</v>
      </c>
      <c r="F33" s="13" t="s">
        <v>431</v>
      </c>
      <c r="G33" s="13" t="s">
        <v>432</v>
      </c>
      <c r="H33" s="14" t="s">
        <v>221</v>
      </c>
      <c r="I33" s="13" t="s">
        <v>433</v>
      </c>
      <c r="J33" s="13" t="s">
        <v>434</v>
      </c>
      <c r="K33" s="13" t="s">
        <v>435</v>
      </c>
      <c r="L33" s="14" t="s">
        <v>64</v>
      </c>
      <c r="M33" s="15" t="s">
        <v>65</v>
      </c>
      <c r="N33" s="13" t="s">
        <v>436</v>
      </c>
      <c r="O33" s="15" t="s">
        <v>83</v>
      </c>
      <c r="P33" s="15" t="s">
        <v>98</v>
      </c>
      <c r="Q33" s="15" t="n">
        <v>2</v>
      </c>
      <c r="R33" s="14" t="n">
        <f aca="false">IF(M33="Alta",3,IF(M33="Media",2,IF(M33="Baja",1,"")))</f>
        <v>3</v>
      </c>
      <c r="S33" s="16" t="n">
        <f aca="false">IF(OR(R33="",Q33=""),"",R33*Q33)</f>
        <v>6</v>
      </c>
      <c r="T33" s="13" t="s">
        <v>186</v>
      </c>
      <c r="U33" s="17" t="s">
        <v>70</v>
      </c>
      <c r="V33" s="13" t="s">
        <v>437</v>
      </c>
      <c r="W33" s="13" t="s">
        <v>438</v>
      </c>
      <c r="X33" s="11" t="n">
        <f aca="false">IF(S33="",0,S33)-ROW()/1000</f>
        <v>5.967</v>
      </c>
    </row>
  </sheetData>
  <autoFilter ref="B4:W33"/>
  <conditionalFormatting sqref="S5:S33">
    <cfRule type="cellIs" priority="2" operator="greaterThanOrEqual" aboveAverage="0" equalAverage="0" bottom="0" percent="0" rank="0" text="" dxfId="9">
      <formula>6</formula>
    </cfRule>
    <cfRule type="cellIs" priority="3" operator="lessThanOrEqual" aboveAverage="0" equalAverage="0" bottom="0" percent="0" rank="0" text="" dxfId="10">
      <formula>2</formula>
    </cfRule>
  </conditionalFormatting>
  <dataValidations count="4">
    <dataValidation allowBlank="true" errorStyle="stop" operator="between" showDropDown="false" showErrorMessage="false" showInputMessage="false" sqref="M5:M33" type="list">
      <formula1>"Alta,Media,Baja"</formula1>
      <formula2>0</formula2>
    </dataValidation>
    <dataValidation allowBlank="true" errorStyle="stop" operator="between" showDropDown="false" showErrorMessage="false" showInputMessage="false" sqref="O5:O33" type="list">
      <formula1>"Emergente,Creciente,Consolidada"</formula1>
      <formula2>0</formula2>
    </dataValidation>
    <dataValidation allowBlank="true" errorStyle="stop" operator="between" showDropDown="false" showErrorMessage="false" showInputMessage="false" sqref="P5:P33" type="list">
      <formula1>"A · Dato,A · Dato (INT),B · Casos,B · Casos (dato del proveedor),C · Señal"</formula1>
      <formula2>0</formula2>
    </dataValidation>
    <dataValidation allowBlank="true" errorStyle="stop" operator="between" showDropDown="false" showErrorMessage="false" showInputMessage="false" sqref="Q5:Q3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16"/>
  </cols>
  <sheetData>
    <row r="1" customFormat="false" ht="30" hidden="false" customHeight="true" outlineLevel="0" collapsed="false">
      <c r="B1" s="1" t="s">
        <v>439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440</v>
      </c>
    </row>
    <row r="4" customFormat="false" ht="15" hidden="false" customHeight="false" outlineLevel="0" collapsed="false">
      <c r="B4" s="18" t="s">
        <v>441</v>
      </c>
      <c r="C4" s="18" t="s">
        <v>442</v>
      </c>
      <c r="D4" s="18" t="s">
        <v>443</v>
      </c>
      <c r="E4" s="18" t="s">
        <v>444</v>
      </c>
      <c r="F4" s="18" t="s">
        <v>445</v>
      </c>
      <c r="G4" s="18" t="s">
        <v>446</v>
      </c>
    </row>
    <row r="5" customFormat="false" ht="15" hidden="false" customHeight="false" outlineLevel="0" collapsed="false">
      <c r="B5" s="19" t="s">
        <v>55</v>
      </c>
      <c r="C5" s="14" t="n">
        <f aca="false">COUNTIF(FICHAS!$C$5:$C$33,B5)</f>
        <v>3</v>
      </c>
      <c r="D5" s="14" t="n">
        <f aca="false">COUNTIFS(FICHAS!$C$5:$C$33,B5,FICHAS!$M$5:$M$33,"Alta")</f>
        <v>3</v>
      </c>
      <c r="E5" s="14" t="n">
        <f aca="false">COUNTIFS(FICHAS!$C$5:$C$33,B5,FICHAS!$S$5:$S$33,"&gt;=6")</f>
        <v>3</v>
      </c>
      <c r="F5" s="20" t="n">
        <f aca="false">IFERROR(AVERAGEIF(FICHAS!$C$5:$C$33,B5,FICHAS!$S$5:$S$33),"")</f>
        <v>8</v>
      </c>
      <c r="G5" s="14" t="n">
        <f aca="false">IFERROR(SUMPRODUCT(MAX((FICHAS!$C$5:$C$33=B5)*FICHAS!$S$5:$S$33)),"")</f>
        <v>9</v>
      </c>
    </row>
    <row r="6" customFormat="false" ht="15" hidden="false" customHeight="false" outlineLevel="0" collapsed="false">
      <c r="B6" s="19" t="s">
        <v>104</v>
      </c>
      <c r="C6" s="14" t="n">
        <f aca="false">COUNTIF(FICHAS!$C$5:$C$33,B6)</f>
        <v>3</v>
      </c>
      <c r="D6" s="14" t="n">
        <f aca="false">COUNTIFS(FICHAS!$C$5:$C$33,B6,FICHAS!$M$5:$M$33,"Alta")</f>
        <v>1</v>
      </c>
      <c r="E6" s="14" t="n">
        <f aca="false">COUNTIFS(FICHAS!$C$5:$C$33,B6,FICHAS!$S$5:$S$33,"&gt;=6")</f>
        <v>1</v>
      </c>
      <c r="F6" s="20" t="n">
        <f aca="false">IFERROR(AVERAGEIF(FICHAS!$C$5:$C$33,B6,FICHAS!$S$5:$S$33),"")</f>
        <v>4</v>
      </c>
      <c r="G6" s="14" t="n">
        <f aca="false">IFERROR(SUMPRODUCT(MAX((FICHAS!$C$5:$C$33=B6)*FICHAS!$S$5:$S$33)),"")</f>
        <v>6</v>
      </c>
    </row>
    <row r="7" customFormat="false" ht="15" hidden="false" customHeight="false" outlineLevel="0" collapsed="false">
      <c r="B7" s="19" t="s">
        <v>149</v>
      </c>
      <c r="C7" s="14" t="n">
        <f aca="false">COUNTIF(FICHAS!$C$5:$C$33,B7)</f>
        <v>4</v>
      </c>
      <c r="D7" s="14" t="n">
        <f aca="false">COUNTIFS(FICHAS!$C$5:$C$33,B7,FICHAS!$M$5:$M$33,"Alta")</f>
        <v>2</v>
      </c>
      <c r="E7" s="14" t="n">
        <f aca="false">COUNTIFS(FICHAS!$C$5:$C$33,B7,FICHAS!$S$5:$S$33,"&gt;=6")</f>
        <v>2</v>
      </c>
      <c r="F7" s="20" t="n">
        <f aca="false">IFERROR(AVERAGEIF(FICHAS!$C$5:$C$33,B7,FICHAS!$S$5:$S$33),"")</f>
        <v>5.5</v>
      </c>
      <c r="G7" s="14" t="n">
        <f aca="false">IFERROR(SUMPRODUCT(MAX((FICHAS!$C$5:$C$33=B7)*FICHAS!$S$5:$S$33)),"")</f>
        <v>9</v>
      </c>
    </row>
    <row r="8" customFormat="false" ht="15" hidden="false" customHeight="false" outlineLevel="0" collapsed="false">
      <c r="B8" s="19" t="s">
        <v>203</v>
      </c>
      <c r="C8" s="14" t="n">
        <f aca="false">COUNTIF(FICHAS!$C$5:$C$33,B8)</f>
        <v>2</v>
      </c>
      <c r="D8" s="14" t="n">
        <f aca="false">COUNTIFS(FICHAS!$C$5:$C$33,B8,FICHAS!$M$5:$M$33,"Alta")</f>
        <v>1</v>
      </c>
      <c r="E8" s="14" t="n">
        <f aca="false">COUNTIFS(FICHAS!$C$5:$C$33,B8,FICHAS!$S$5:$S$33,"&gt;=6")</f>
        <v>1</v>
      </c>
      <c r="F8" s="20" t="n">
        <f aca="false">IFERROR(AVERAGEIF(FICHAS!$C$5:$C$33,B8,FICHAS!$S$5:$S$33),"")</f>
        <v>6.5</v>
      </c>
      <c r="G8" s="14" t="n">
        <f aca="false">IFERROR(SUMPRODUCT(MAX((FICHAS!$C$5:$C$33=B8)*FICHAS!$S$5:$S$33)),"")</f>
        <v>9</v>
      </c>
    </row>
    <row r="9" customFormat="false" ht="15" hidden="false" customHeight="false" outlineLevel="0" collapsed="false">
      <c r="B9" s="19" t="s">
        <v>230</v>
      </c>
      <c r="C9" s="14" t="n">
        <f aca="false">COUNTIF(FICHAS!$C$5:$C$33,B9)</f>
        <v>4</v>
      </c>
      <c r="D9" s="14" t="n">
        <f aca="false">COUNTIFS(FICHAS!$C$5:$C$33,B9,FICHAS!$M$5:$M$33,"Alta")</f>
        <v>3</v>
      </c>
      <c r="E9" s="14" t="n">
        <f aca="false">COUNTIFS(FICHAS!$C$5:$C$33,B9,FICHAS!$S$5:$S$33,"&gt;=6")</f>
        <v>3</v>
      </c>
      <c r="F9" s="20" t="n">
        <f aca="false">IFERROR(AVERAGEIF(FICHAS!$C$5:$C$33,B9,FICHAS!$S$5:$S$33),"")</f>
        <v>6.25</v>
      </c>
      <c r="G9" s="14" t="n">
        <f aca="false">IFERROR(SUMPRODUCT(MAX((FICHAS!$C$5:$C$33=B9)*FICHAS!$S$5:$S$33)),"")</f>
        <v>9</v>
      </c>
    </row>
    <row r="10" customFormat="false" ht="15" hidden="false" customHeight="false" outlineLevel="0" collapsed="false">
      <c r="B10" s="19" t="s">
        <v>280</v>
      </c>
      <c r="C10" s="14" t="n">
        <f aca="false">COUNTIF(FICHAS!$C$5:$C$33,B10)</f>
        <v>3</v>
      </c>
      <c r="D10" s="14" t="n">
        <f aca="false">COUNTIFS(FICHAS!$C$5:$C$33,B10,FICHAS!$M$5:$M$33,"Alta")</f>
        <v>2</v>
      </c>
      <c r="E10" s="14" t="n">
        <f aca="false">COUNTIFS(FICHAS!$C$5:$C$33,B10,FICHAS!$S$5:$S$33,"&gt;=6")</f>
        <v>2</v>
      </c>
      <c r="F10" s="20" t="n">
        <f aca="false">IFERROR(AVERAGEIF(FICHAS!$C$5:$C$33,B10,FICHAS!$S$5:$S$33),"")</f>
        <v>4.66666666666667</v>
      </c>
      <c r="G10" s="14" t="n">
        <f aca="false">IFERROR(SUMPRODUCT(MAX((FICHAS!$C$5:$C$33=B10)*FICHAS!$S$5:$S$33)),"")</f>
        <v>6</v>
      </c>
    </row>
    <row r="11" customFormat="false" ht="15" hidden="false" customHeight="false" outlineLevel="0" collapsed="false">
      <c r="B11" s="19" t="s">
        <v>318</v>
      </c>
      <c r="C11" s="14" t="n">
        <f aca="false">COUNTIF(FICHAS!$C$5:$C$33,B11)</f>
        <v>2</v>
      </c>
      <c r="D11" s="14" t="n">
        <f aca="false">COUNTIFS(FICHAS!$C$5:$C$33,B11,FICHAS!$M$5:$M$33,"Alta")</f>
        <v>2</v>
      </c>
      <c r="E11" s="14" t="n">
        <f aca="false">COUNTIFS(FICHAS!$C$5:$C$33,B11,FICHAS!$S$5:$S$33,"&gt;=6")</f>
        <v>1</v>
      </c>
      <c r="F11" s="20" t="n">
        <f aca="false">IFERROR(AVERAGEIF(FICHAS!$C$5:$C$33,B11,FICHAS!$S$5:$S$33),"")</f>
        <v>6</v>
      </c>
      <c r="G11" s="14" t="n">
        <f aca="false">IFERROR(SUMPRODUCT(MAX((FICHAS!$C$5:$C$33=B11)*FICHAS!$S$5:$S$33)),"")</f>
        <v>9</v>
      </c>
    </row>
    <row r="12" customFormat="false" ht="15" hidden="false" customHeight="false" outlineLevel="0" collapsed="false">
      <c r="B12" s="19" t="s">
        <v>343</v>
      </c>
      <c r="C12" s="14" t="n">
        <f aca="false">COUNTIF(FICHAS!$C$5:$C$33,B12)</f>
        <v>4</v>
      </c>
      <c r="D12" s="14" t="n">
        <f aca="false">COUNTIFS(FICHAS!$C$5:$C$33,B12,FICHAS!$M$5:$M$33,"Alta")</f>
        <v>4</v>
      </c>
      <c r="E12" s="14" t="n">
        <f aca="false">COUNTIFS(FICHAS!$C$5:$C$33,B12,FICHAS!$S$5:$S$33,"&gt;=6")</f>
        <v>3</v>
      </c>
      <c r="F12" s="20" t="n">
        <f aca="false">IFERROR(AVERAGEIF(FICHAS!$C$5:$C$33,B12,FICHAS!$S$5:$S$33),"")</f>
        <v>6</v>
      </c>
      <c r="G12" s="14" t="n">
        <f aca="false">IFERROR(SUMPRODUCT(MAX((FICHAS!$C$5:$C$33=B12)*FICHAS!$S$5:$S$33)),"")</f>
        <v>9</v>
      </c>
    </row>
    <row r="13" customFormat="false" ht="15" hidden="false" customHeight="false" outlineLevel="0" collapsed="false">
      <c r="B13" s="19" t="s">
        <v>393</v>
      </c>
      <c r="C13" s="14" t="n">
        <f aca="false">COUNTIF(FICHAS!$C$5:$C$33,B13)</f>
        <v>4</v>
      </c>
      <c r="D13" s="14" t="n">
        <f aca="false">COUNTIFS(FICHAS!$C$5:$C$33,B13,FICHAS!$M$5:$M$33,"Alta")</f>
        <v>3</v>
      </c>
      <c r="E13" s="14" t="n">
        <f aca="false">COUNTIFS(FICHAS!$C$5:$C$33,B13,FICHAS!$S$5:$S$33,"&gt;=6")</f>
        <v>3</v>
      </c>
      <c r="F13" s="20" t="n">
        <f aca="false">IFERROR(AVERAGEIF(FICHAS!$C$5:$C$33,B13,FICHAS!$S$5:$S$33),"")</f>
        <v>5</v>
      </c>
      <c r="G13" s="14" t="n">
        <f aca="false">IFERROR(SUMPRODUCT(MAX((FICHAS!$C$5:$C$33=B13)*FICHAS!$S$5:$S$33)),"")</f>
        <v>6</v>
      </c>
    </row>
    <row r="14" customFormat="false" ht="15" hidden="false" customHeight="false" outlineLevel="0" collapsed="false">
      <c r="B14" s="21" t="s">
        <v>447</v>
      </c>
      <c r="C14" s="22" t="n">
        <f aca="false">SUM(C5:C13)</f>
        <v>29</v>
      </c>
      <c r="D14" s="22" t="n">
        <f aca="false">SUM(D5:D13)</f>
        <v>21</v>
      </c>
      <c r="E14" s="22" t="n">
        <f aca="false">SUM(E5:E13)</f>
        <v>19</v>
      </c>
      <c r="F14" s="23" t="n">
        <f aca="false">IFERROR(AVERAGE(FICHAS!$S$5:$S$33),"")</f>
        <v>5.72413793103448</v>
      </c>
      <c r="G14" s="22" t="n">
        <f aca="false">MAX(FICHAS!$S$5:$S$33)</f>
        <v>9</v>
      </c>
    </row>
    <row r="17" customFormat="false" ht="15" hidden="false" customHeight="false" outlineLevel="0" collapsed="false">
      <c r="B17" s="18" t="s">
        <v>448</v>
      </c>
      <c r="C17" s="18" t="s">
        <v>442</v>
      </c>
    </row>
    <row r="18" customFormat="false" ht="15" hidden="false" customHeight="false" outlineLevel="0" collapsed="false">
      <c r="B18" s="19" t="s">
        <v>221</v>
      </c>
      <c r="C18" s="14" t="n">
        <f aca="false">COUNTIF(FICHAS!$H$5:$H$33,"*"&amp;B18&amp;"*")</f>
        <v>15</v>
      </c>
    </row>
    <row r="19" customFormat="false" ht="15" hidden="false" customHeight="false" outlineLevel="0" collapsed="false">
      <c r="B19" s="19" t="s">
        <v>78</v>
      </c>
      <c r="C19" s="14" t="n">
        <f aca="false">COUNTIF(FICHAS!$H$5:$H$33,"*"&amp;B19&amp;"*")</f>
        <v>10</v>
      </c>
    </row>
    <row r="20" customFormat="false" ht="15" hidden="false" customHeight="false" outlineLevel="0" collapsed="false">
      <c r="B20" s="19" t="s">
        <v>167</v>
      </c>
      <c r="C20" s="14" t="n">
        <f aca="false">COUNTIF(FICHAS!$H$5:$H$33,"*"&amp;B20&amp;"*")</f>
        <v>15</v>
      </c>
    </row>
    <row r="21" customFormat="false" ht="15" hidden="false" customHeight="false" outlineLevel="0" collapsed="false">
      <c r="B21" s="19" t="s">
        <v>194</v>
      </c>
      <c r="C21" s="14" t="n">
        <f aca="false">COUNTIF(FICHAS!$H$5:$H$33,"*"&amp;B21&amp;"*")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7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30" hidden="false" customHeight="true" outlineLevel="0" collapsed="false">
      <c r="B1" s="1" t="s">
        <v>449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450</v>
      </c>
    </row>
    <row r="4" customFormat="false" ht="15" hidden="false" customHeight="false" outlineLevel="0" collapsed="false">
      <c r="B4" s="10" t="s">
        <v>451</v>
      </c>
      <c r="C4" s="10" t="s">
        <v>33</v>
      </c>
      <c r="D4" s="10" t="s">
        <v>35</v>
      </c>
      <c r="E4" s="10" t="s">
        <v>441</v>
      </c>
      <c r="F4" s="10" t="s">
        <v>452</v>
      </c>
      <c r="G4" s="10" t="s">
        <v>453</v>
      </c>
      <c r="H4" s="10" t="s">
        <v>454</v>
      </c>
    </row>
    <row r="5" customFormat="false" ht="15" hidden="false" customHeight="false" outlineLevel="0" collapsed="false">
      <c r="B5" s="14" t="n">
        <v>1</v>
      </c>
      <c r="C5" s="24" t="str">
        <f aca="false">INDEX(FICHAS!$B$5:$B$33,MATCH(LARGE(FICHAS!$X$5:$X$33,B5),FICHAS!$X$5:$X$33,0))</f>
        <v>T01</v>
      </c>
      <c r="D5" s="25" t="str">
        <f aca="false">INDEX(FICHAS!$D$5:$D$33,MATCH(LARGE(FICHAS!$X$5:$X$33,B5),FICHAS!$X$5:$X$33,0))</f>
        <v>Casualización de la alta cocina</v>
      </c>
      <c r="E5" s="14" t="str">
        <f aca="false">INDEX(FICHAS!$C$5:$C$33,MATCH(LARGE(FICHAS!$X$5:$X$33,B5),FICHAS!$X$5:$X$33,0))</f>
        <v>Concepto</v>
      </c>
      <c r="F5" s="14" t="str">
        <f aca="false">INDEX(FICHAS!$M$5:$M$33,MATCH(LARGE(FICHAS!$X$5:$X$33,B5),FICHAS!$X$5:$X$33,0))</f>
        <v>Alta</v>
      </c>
      <c r="G5" s="14" t="n">
        <f aca="false">INDEX(FICHAS!$Q$5:$Q$33,MATCH(LARGE(FICHAS!$X$5:$X$33,B5),FICHAS!$X$5:$X$33,0))</f>
        <v>3</v>
      </c>
      <c r="H5" s="16" t="n">
        <f aca="false">INDEX(FICHAS!$S$5:$S$33,MATCH(LARGE(FICHAS!$X$5:$X$33,B5),FICHAS!$X$5:$X$33,0))</f>
        <v>9</v>
      </c>
    </row>
    <row r="6" customFormat="false" ht="15" hidden="false" customHeight="false" outlineLevel="0" collapsed="false">
      <c r="B6" s="14" t="n">
        <v>2</v>
      </c>
      <c r="C6" s="24" t="str">
        <f aca="false">INDEX(FICHAS!$B$5:$B$33,MATCH(LARGE(FICHAS!$X$5:$X$33,B6),FICHAS!$X$5:$X$33,0))</f>
        <v>T03</v>
      </c>
      <c r="D6" s="25" t="str">
        <f aca="false">INDEX(FICHAS!$D$5:$D$33,MATCH(LARGE(FICHAS!$X$5:$X$33,B6),FICHAS!$X$5:$X$33,0))</f>
        <v>Cartas cortas y raciones flexibles</v>
      </c>
      <c r="E6" s="14" t="str">
        <f aca="false">INDEX(FICHAS!$C$5:$C$33,MATCH(LARGE(FICHAS!$X$5:$X$33,B6),FICHAS!$X$5:$X$33,0))</f>
        <v>Concepto</v>
      </c>
      <c r="F6" s="14" t="str">
        <f aca="false">INDEX(FICHAS!$M$5:$M$33,MATCH(LARGE(FICHAS!$X$5:$X$33,B6),FICHAS!$X$5:$X$33,0))</f>
        <v>Alta</v>
      </c>
      <c r="G6" s="14" t="n">
        <f aca="false">INDEX(FICHAS!$Q$5:$Q$33,MATCH(LARGE(FICHAS!$X$5:$X$33,B6),FICHAS!$X$5:$X$33,0))</f>
        <v>3</v>
      </c>
      <c r="H6" s="16" t="n">
        <f aca="false">INDEX(FICHAS!$S$5:$S$33,MATCH(LARGE(FICHAS!$X$5:$X$33,B6),FICHAS!$X$5:$X$33,0))</f>
        <v>9</v>
      </c>
    </row>
    <row r="7" customFormat="false" ht="15" hidden="false" customHeight="false" outlineLevel="0" collapsed="false">
      <c r="B7" s="14" t="n">
        <v>3</v>
      </c>
      <c r="C7" s="24" t="str">
        <f aca="false">INDEX(FICHAS!$B$5:$B$33,MATCH(LARGE(FICHAS!$X$5:$X$33,B7),FICHAS!$X$5:$X$33,0))</f>
        <v>T07</v>
      </c>
      <c r="D7" s="25" t="str">
        <f aca="false">INDEX(FICHAS!$D$5:$D$33,MATCH(LARGE(FICHAS!$X$5:$X$33,B7),FICHAS!$X$5:$X$33,0))</f>
        <v>Se come antes y se sale de día (tardeo)</v>
      </c>
      <c r="E7" s="14" t="str">
        <f aca="false">INDEX(FICHAS!$C$5:$C$33,MATCH(LARGE(FICHAS!$X$5:$X$33,B7),FICHAS!$X$5:$X$33,0))</f>
        <v>Cliente</v>
      </c>
      <c r="F7" s="14" t="str">
        <f aca="false">INDEX(FICHAS!$M$5:$M$33,MATCH(LARGE(FICHAS!$X$5:$X$33,B7),FICHAS!$X$5:$X$33,0))</f>
        <v>Alta</v>
      </c>
      <c r="G7" s="14" t="n">
        <f aca="false">INDEX(FICHAS!$Q$5:$Q$33,MATCH(LARGE(FICHAS!$X$5:$X$33,B7),FICHAS!$X$5:$X$33,0))</f>
        <v>3</v>
      </c>
      <c r="H7" s="16" t="n">
        <f aca="false">INDEX(FICHAS!$S$5:$S$33,MATCH(LARGE(FICHAS!$X$5:$X$33,B7),FICHAS!$X$5:$X$33,0))</f>
        <v>9</v>
      </c>
    </row>
    <row r="8" customFormat="false" ht="15" hidden="false" customHeight="false" outlineLevel="0" collapsed="false">
      <c r="B8" s="14" t="n">
        <v>4</v>
      </c>
      <c r="C8" s="24" t="str">
        <f aca="false">INDEX(FICHAS!$B$5:$B$33,MATCH(LARGE(FICHAS!$X$5:$X$33,B8),FICHAS!$X$5:$X$33,0))</f>
        <v>T08</v>
      </c>
      <c r="D8" s="25" t="str">
        <f aca="false">INDEX(FICHAS!$D$5:$D$33,MATCH(LARGE(FICHAS!$X$5:$X$33,B8),FICHAS!$X$5:$X$33,0))</f>
        <v>Cliente selectivo: sale igual, gasta con más cuidado</v>
      </c>
      <c r="E8" s="14" t="str">
        <f aca="false">INDEX(FICHAS!$C$5:$C$33,MATCH(LARGE(FICHAS!$X$5:$X$33,B8),FICHAS!$X$5:$X$33,0))</f>
        <v>Cliente</v>
      </c>
      <c r="F8" s="14" t="str">
        <f aca="false">INDEX(FICHAS!$M$5:$M$33,MATCH(LARGE(FICHAS!$X$5:$X$33,B8),FICHAS!$X$5:$X$33,0))</f>
        <v>Alta</v>
      </c>
      <c r="G8" s="14" t="n">
        <f aca="false">INDEX(FICHAS!$Q$5:$Q$33,MATCH(LARGE(FICHAS!$X$5:$X$33,B8),FICHAS!$X$5:$X$33,0))</f>
        <v>3</v>
      </c>
      <c r="H8" s="16" t="n">
        <f aca="false">INDEX(FICHAS!$S$5:$S$33,MATCH(LARGE(FICHAS!$X$5:$X$33,B8),FICHAS!$X$5:$X$33,0))</f>
        <v>9</v>
      </c>
    </row>
    <row r="9" customFormat="false" ht="25.35" hidden="false" customHeight="false" outlineLevel="0" collapsed="false">
      <c r="B9" s="14" t="n">
        <v>5</v>
      </c>
      <c r="C9" s="24" t="str">
        <f aca="false">INDEX(FICHAS!$B$5:$B$33,MATCH(LARGE(FICHAS!$X$5:$X$33,B9),FICHAS!$X$5:$X$33,0))</f>
        <v>T11</v>
      </c>
      <c r="D9" s="25" t="str">
        <f aca="false">INDEX(FICHAS!$D$5:$D$33,MATCH(LARGE(FICHAS!$X$5:$X$33,B9),FICHAS!$X$5:$X$33,0))</f>
        <v>Falta de equipos cualificados → cocinas diseñadas para la plantilla real</v>
      </c>
      <c r="E9" s="14" t="str">
        <f aca="false">INDEX(FICHAS!$C$5:$C$33,MATCH(LARGE(FICHAS!$X$5:$X$33,B9),FICHAS!$X$5:$X$33,0))</f>
        <v>Operaciones</v>
      </c>
      <c r="F9" s="14" t="str">
        <f aca="false">INDEX(FICHAS!$M$5:$M$33,MATCH(LARGE(FICHAS!$X$5:$X$33,B9),FICHAS!$X$5:$X$33,0))</f>
        <v>Alta</v>
      </c>
      <c r="G9" s="14" t="n">
        <f aca="false">INDEX(FICHAS!$Q$5:$Q$33,MATCH(LARGE(FICHAS!$X$5:$X$33,B9),FICHAS!$X$5:$X$33,0))</f>
        <v>3</v>
      </c>
      <c r="H9" s="16" t="n">
        <f aca="false">INDEX(FICHAS!$S$5:$S$33,MATCH(LARGE(FICHAS!$X$5:$X$33,B9),FICHAS!$X$5:$X$33,0))</f>
        <v>9</v>
      </c>
    </row>
    <row r="10" customFormat="false" ht="15" hidden="false" customHeight="false" outlineLevel="0" collapsed="false">
      <c r="B10" s="14" t="n">
        <v>6</v>
      </c>
      <c r="C10" s="24" t="str">
        <f aca="false">INDEX(FICHAS!$B$5:$B$33,MATCH(LARGE(FICHAS!$X$5:$X$33,B10),FICHAS!$X$5:$X$33,0))</f>
        <v>T13</v>
      </c>
      <c r="D10" s="25" t="str">
        <f aca="false">INDEX(FICHAS!$D$5:$D$33,MATCH(LARGE(FICHAS!$X$5:$X$33,B10),FICHAS!$X$5:$X$33,0))</f>
        <v>Costes en tensión y subidas de precio selectivas</v>
      </c>
      <c r="E10" s="14" t="str">
        <f aca="false">INDEX(FICHAS!$C$5:$C$33,MATCH(LARGE(FICHAS!$X$5:$X$33,B10),FICHAS!$X$5:$X$33,0))</f>
        <v>Rentabilidad</v>
      </c>
      <c r="F10" s="14" t="str">
        <f aca="false">INDEX(FICHAS!$M$5:$M$33,MATCH(LARGE(FICHAS!$X$5:$X$33,B10),FICHAS!$X$5:$X$33,0))</f>
        <v>Alta</v>
      </c>
      <c r="G10" s="14" t="n">
        <f aca="false">INDEX(FICHAS!$Q$5:$Q$33,MATCH(LARGE(FICHAS!$X$5:$X$33,B10),FICHAS!$X$5:$X$33,0))</f>
        <v>3</v>
      </c>
      <c r="H10" s="16" t="n">
        <f aca="false">INDEX(FICHAS!$S$5:$S$33,MATCH(LARGE(FICHAS!$X$5:$X$33,B10),FICHAS!$X$5:$X$33,0))</f>
        <v>9</v>
      </c>
    </row>
    <row r="11" customFormat="false" ht="15" hidden="false" customHeight="false" outlineLevel="0" collapsed="false">
      <c r="B11" s="14" t="n">
        <v>7</v>
      </c>
      <c r="C11" s="24" t="str">
        <f aca="false">INDEX(FICHAS!$B$5:$B$33,MATCH(LARGE(FICHAS!$X$5:$X$33,B11),FICHAS!$X$5:$X$33,0))</f>
        <v>T20</v>
      </c>
      <c r="D11" s="25" t="str">
        <f aca="false">INDEX(FICHAS!$D$5:$D$33,MATCH(LARGE(FICHAS!$X$5:$X$33,B11),FICHAS!$X$5:$X$33,0))</f>
        <v>Ley 1/2025 de desperdicio alimentario en vigor</v>
      </c>
      <c r="E11" s="14" t="str">
        <f aca="false">INDEX(FICHAS!$C$5:$C$33,MATCH(LARGE(FICHAS!$X$5:$X$33,B11),FICHAS!$X$5:$X$33,0))</f>
        <v>Sostenibilidad</v>
      </c>
      <c r="F11" s="14" t="str">
        <f aca="false">INDEX(FICHAS!$M$5:$M$33,MATCH(LARGE(FICHAS!$X$5:$X$33,B11),FICHAS!$X$5:$X$33,0))</f>
        <v>Alta</v>
      </c>
      <c r="G11" s="14" t="n">
        <f aca="false">INDEX(FICHAS!$Q$5:$Q$33,MATCH(LARGE(FICHAS!$X$5:$X$33,B11),FICHAS!$X$5:$X$33,0))</f>
        <v>3</v>
      </c>
      <c r="H11" s="16" t="n">
        <f aca="false">INDEX(FICHAS!$S$5:$S$33,MATCH(LARGE(FICHAS!$X$5:$X$33,B11),FICHAS!$X$5:$X$33,0))</f>
        <v>9</v>
      </c>
    </row>
    <row r="12" customFormat="false" ht="15" hidden="false" customHeight="false" outlineLevel="0" collapsed="false">
      <c r="B12" s="14" t="n">
        <v>8</v>
      </c>
      <c r="C12" s="24" t="str">
        <f aca="false">INDEX(FICHAS!$B$5:$B$33,MATCH(LARGE(FICHAS!$X$5:$X$33,B12),FICHAS!$X$5:$X$33,0))</f>
        <v>T22</v>
      </c>
      <c r="D12" s="25" t="str">
        <f aca="false">INDEX(FICHAS!$D$5:$D$33,MATCH(LARGE(FICHAS!$X$5:$X$33,B12),FICHAS!$X$5:$X$33,0))</f>
        <v>Sin y bajo alcohol con elaboración propia</v>
      </c>
      <c r="E12" s="14" t="str">
        <f aca="false">INDEX(FICHAS!$C$5:$C$33,MATCH(LARGE(FICHAS!$X$5:$X$33,B12),FICHAS!$X$5:$X$33,0))</f>
        <v>Bebidas</v>
      </c>
      <c r="F12" s="14" t="str">
        <f aca="false">INDEX(FICHAS!$M$5:$M$33,MATCH(LARGE(FICHAS!$X$5:$X$33,B12),FICHAS!$X$5:$X$33,0))</f>
        <v>Alta</v>
      </c>
      <c r="G12" s="14" t="n">
        <f aca="false">INDEX(FICHAS!$Q$5:$Q$33,MATCH(LARGE(FICHAS!$X$5:$X$33,B12),FICHAS!$X$5:$X$33,0))</f>
        <v>3</v>
      </c>
      <c r="H12" s="16" t="n">
        <f aca="false">INDEX(FICHAS!$S$5:$S$33,MATCH(LARGE(FICHAS!$X$5:$X$33,B12),FICHAS!$X$5:$X$33,0))</f>
        <v>9</v>
      </c>
    </row>
    <row r="13" customFormat="false" ht="15" hidden="false" customHeight="false" outlineLevel="0" collapsed="false">
      <c r="B13" s="14" t="n">
        <v>9</v>
      </c>
      <c r="C13" s="24" t="str">
        <f aca="false">INDEX(FICHAS!$B$5:$B$33,MATCH(LARGE(FICHAS!$X$5:$X$33,B13),FICHAS!$X$5:$X$33,0))</f>
        <v>T02</v>
      </c>
      <c r="D13" s="25" t="str">
        <f aca="false">INDEX(FICHAS!$D$5:$D$33,MATCH(LARGE(FICHAS!$X$5:$X$33,B13),FICHAS!$X$5:$X$33,0))</f>
        <v>Restaurante monoproducto o de origen</v>
      </c>
      <c r="E13" s="14" t="str">
        <f aca="false">INDEX(FICHAS!$C$5:$C$33,MATCH(LARGE(FICHAS!$X$5:$X$33,B13),FICHAS!$X$5:$X$33,0))</f>
        <v>Concepto</v>
      </c>
      <c r="F13" s="14" t="str">
        <f aca="false">INDEX(FICHAS!$M$5:$M$33,MATCH(LARGE(FICHAS!$X$5:$X$33,B13),FICHAS!$X$5:$X$33,0))</f>
        <v>Alta</v>
      </c>
      <c r="G13" s="14" t="n">
        <f aca="false">INDEX(FICHAS!$Q$5:$Q$33,MATCH(LARGE(FICHAS!$X$5:$X$33,B13),FICHAS!$X$5:$X$33,0))</f>
        <v>2</v>
      </c>
      <c r="H13" s="16" t="n">
        <f aca="false">INDEX(FICHAS!$S$5:$S$33,MATCH(LARGE(FICHAS!$X$5:$X$33,B13),FICHAS!$X$5:$X$33,0))</f>
        <v>6</v>
      </c>
    </row>
    <row r="14" customFormat="false" ht="15" hidden="false" customHeight="false" outlineLevel="0" collapsed="false">
      <c r="B14" s="14" t="n">
        <v>10</v>
      </c>
      <c r="C14" s="24" t="str">
        <f aca="false">INDEX(FICHAS!$B$5:$B$33,MATCH(LARGE(FICHAS!$X$5:$X$33,B14),FICHAS!$X$5:$X$33,0))</f>
        <v>T04</v>
      </c>
      <c r="D14" s="25" t="str">
        <f aca="false">INDEX(FICHAS!$D$5:$D$33,MATCH(LARGE(FICHAS!$X$5:$X$33,B14),FICHAS!$X$5:$X$33,0))</f>
        <v>Brasa y fuego vivo como eje de la cocina</v>
      </c>
      <c r="E14" s="14" t="str">
        <f aca="false">INDEX(FICHAS!$C$5:$C$33,MATCH(LARGE(FICHAS!$X$5:$X$33,B14),FICHAS!$X$5:$X$33,0))</f>
        <v>Producto</v>
      </c>
      <c r="F14" s="14" t="str">
        <f aca="false">INDEX(FICHAS!$M$5:$M$33,MATCH(LARGE(FICHAS!$X$5:$X$33,B14),FICHAS!$X$5:$X$33,0))</f>
        <v>Alta</v>
      </c>
      <c r="G14" s="14" t="n">
        <f aca="false">INDEX(FICHAS!$Q$5:$Q$33,MATCH(LARGE(FICHAS!$X$5:$X$33,B14),FICHAS!$X$5:$X$33,0))</f>
        <v>2</v>
      </c>
      <c r="H14" s="16" t="n">
        <f aca="false">INDEX(FICHAS!$S$5:$S$33,MATCH(LARGE(FICHAS!$X$5:$X$33,B14),FICHAS!$X$5:$X$33,0))</f>
        <v>6</v>
      </c>
    </row>
    <row r="15" customFormat="false" ht="15" hidden="false" customHeight="false" outlineLevel="0" collapsed="false">
      <c r="B15" s="14" t="n">
        <v>11</v>
      </c>
      <c r="C15" s="24" t="str">
        <f aca="false">INDEX(FICHAS!$B$5:$B$33,MATCH(LARGE(FICHAS!$X$5:$X$33,B15),FICHAS!$X$5:$X$33,0))</f>
        <v>T14</v>
      </c>
      <c r="D15" s="25" t="str">
        <f aca="false">INDEX(FICHAS!$D$5:$D$33,MATCH(LARGE(FICHAS!$X$5:$X$33,B15),FICHAS!$X$5:$X$33,0))</f>
        <v>El menú del día al límite del margen</v>
      </c>
      <c r="E15" s="14" t="str">
        <f aca="false">INDEX(FICHAS!$C$5:$C$33,MATCH(LARGE(FICHAS!$X$5:$X$33,B15),FICHAS!$X$5:$X$33,0))</f>
        <v>Rentabilidad</v>
      </c>
      <c r="F15" s="14" t="str">
        <f aca="false">INDEX(FICHAS!$M$5:$M$33,MATCH(LARGE(FICHAS!$X$5:$X$33,B15),FICHAS!$X$5:$X$33,0))</f>
        <v>Alta</v>
      </c>
      <c r="G15" s="14" t="n">
        <f aca="false">INDEX(FICHAS!$Q$5:$Q$33,MATCH(LARGE(FICHAS!$X$5:$X$33,B15),FICHAS!$X$5:$X$33,0))</f>
        <v>2</v>
      </c>
      <c r="H15" s="16" t="n">
        <f aca="false">INDEX(FICHAS!$S$5:$S$33,MATCH(LARGE(FICHAS!$X$5:$X$33,B15),FICHAS!$X$5:$X$33,0))</f>
        <v>6</v>
      </c>
    </row>
    <row r="16" customFormat="false" ht="15" hidden="false" customHeight="false" outlineLevel="0" collapsed="false">
      <c r="B16" s="14" t="n">
        <v>12</v>
      </c>
      <c r="C16" s="24" t="str">
        <f aca="false">INDEX(FICHAS!$B$5:$B$33,MATCH(LARGE(FICHAS!$X$5:$X$33,B16),FICHAS!$X$5:$X$33,0))</f>
        <v>T15</v>
      </c>
      <c r="D16" s="25" t="str">
        <f aca="false">INDEX(FICHAS!$D$5:$D$33,MATCH(LARGE(FICHAS!$X$5:$X$33,B16),FICHAS!$X$5:$X$33,0))</f>
        <v>Reserva con garantía y prepago contra los no-shows</v>
      </c>
      <c r="E16" s="14" t="str">
        <f aca="false">INDEX(FICHAS!$C$5:$C$33,MATCH(LARGE(FICHAS!$X$5:$X$33,B16),FICHAS!$X$5:$X$33,0))</f>
        <v>Rentabilidad</v>
      </c>
      <c r="F16" s="14" t="str">
        <f aca="false">INDEX(FICHAS!$M$5:$M$33,MATCH(LARGE(FICHAS!$X$5:$X$33,B16),FICHAS!$X$5:$X$33,0))</f>
        <v>Alta</v>
      </c>
      <c r="G16" s="14" t="n">
        <f aca="false">INDEX(FICHAS!$Q$5:$Q$33,MATCH(LARGE(FICHAS!$X$5:$X$33,B16),FICHAS!$X$5:$X$33,0))</f>
        <v>2</v>
      </c>
      <c r="H16" s="16" t="n">
        <f aca="false">INDEX(FICHAS!$S$5:$S$33,MATCH(LARGE(FICHAS!$X$5:$X$33,B16),FICHAS!$X$5:$X$33,0))</f>
        <v>6</v>
      </c>
    </row>
    <row r="17" customFormat="false" ht="15" hidden="false" customHeight="false" outlineLevel="0" collapsed="false">
      <c r="B17" s="14" t="n">
        <v>13</v>
      </c>
      <c r="C17" s="24" t="str">
        <f aca="false">INDEX(FICHAS!$B$5:$B$33,MATCH(LARGE(FICHAS!$X$5:$X$33,B17),FICHAS!$X$5:$X$33,0))</f>
        <v>T17</v>
      </c>
      <c r="D17" s="25" t="str">
        <f aca="false">INDEX(FICHAS!$D$5:$D$33,MATCH(LARGE(FICHAS!$X$5:$X$33,B17),FICHAS!$X$5:$X$33,0))</f>
        <v>IA para análisis de datos, compras y stock</v>
      </c>
      <c r="E17" s="14" t="str">
        <f aca="false">INDEX(FICHAS!$C$5:$C$33,MATCH(LARGE(FICHAS!$X$5:$X$33,B17),FICHAS!$X$5:$X$33,0))</f>
        <v>Tecnología</v>
      </c>
      <c r="F17" s="14" t="str">
        <f aca="false">INDEX(FICHAS!$M$5:$M$33,MATCH(LARGE(FICHAS!$X$5:$X$33,B17),FICHAS!$X$5:$X$33,0))</f>
        <v>Alta</v>
      </c>
      <c r="G17" s="14" t="n">
        <f aca="false">INDEX(FICHAS!$Q$5:$Q$33,MATCH(LARGE(FICHAS!$X$5:$X$33,B17),FICHAS!$X$5:$X$33,0))</f>
        <v>2</v>
      </c>
      <c r="H17" s="16" t="n">
        <f aca="false">INDEX(FICHAS!$S$5:$S$33,MATCH(LARGE(FICHAS!$X$5:$X$33,B17),FICHAS!$X$5:$X$33,0))</f>
        <v>6</v>
      </c>
    </row>
    <row r="18" customFormat="false" ht="15" hidden="false" customHeight="false" outlineLevel="0" collapsed="false">
      <c r="B18" s="14" t="n">
        <v>14</v>
      </c>
      <c r="C18" s="24" t="str">
        <f aca="false">INDEX(FICHAS!$B$5:$B$33,MATCH(LARGE(FICHAS!$X$5:$X$33,B18),FICHAS!$X$5:$X$33,0))</f>
        <v>T19</v>
      </c>
      <c r="D18" s="25" t="str">
        <f aca="false">INDEX(FICHAS!$D$5:$D$33,MATCH(LARGE(FICHAS!$X$5:$X$33,B18),FICHAS!$X$5:$X$33,0))</f>
        <v>TPV certificado y facturación electrónica (Verifactu)</v>
      </c>
      <c r="E18" s="14" t="str">
        <f aca="false">INDEX(FICHAS!$C$5:$C$33,MATCH(LARGE(FICHAS!$X$5:$X$33,B18),FICHAS!$X$5:$X$33,0))</f>
        <v>Tecnología</v>
      </c>
      <c r="F18" s="14" t="str">
        <f aca="false">INDEX(FICHAS!$M$5:$M$33,MATCH(LARGE(FICHAS!$X$5:$X$33,B18),FICHAS!$X$5:$X$33,0))</f>
        <v>Alta</v>
      </c>
      <c r="G18" s="14" t="n">
        <f aca="false">INDEX(FICHAS!$Q$5:$Q$33,MATCH(LARGE(FICHAS!$X$5:$X$33,B18),FICHAS!$X$5:$X$33,0))</f>
        <v>2</v>
      </c>
      <c r="H18" s="16" t="n">
        <f aca="false">INDEX(FICHAS!$S$5:$S$33,MATCH(LARGE(FICHAS!$X$5:$X$33,B18),FICHAS!$X$5:$X$33,0))</f>
        <v>6</v>
      </c>
    </row>
    <row r="19" customFormat="false" ht="15" hidden="false" customHeight="false" outlineLevel="0" collapsed="false">
      <c r="B19" s="14" t="n">
        <v>15</v>
      </c>
      <c r="C19" s="24" t="str">
        <f aca="false">INDEX(FICHAS!$B$5:$B$33,MATCH(LARGE(FICHAS!$X$5:$X$33,B19),FICHAS!$X$5:$X$33,0))</f>
        <v>T23</v>
      </c>
      <c r="D19" s="25" t="str">
        <f aca="false">INDEX(FICHAS!$D$5:$D$33,MATCH(LARGE(FICHAS!$X$5:$X$33,B19),FICHAS!$X$5:$X$33,0))</f>
        <v>Barcelona, capital de la coctelería de autor</v>
      </c>
      <c r="E19" s="14" t="str">
        <f aca="false">INDEX(FICHAS!$C$5:$C$33,MATCH(LARGE(FICHAS!$X$5:$X$33,B19),FICHAS!$X$5:$X$33,0))</f>
        <v>Bebidas</v>
      </c>
      <c r="F19" s="14" t="str">
        <f aca="false">INDEX(FICHAS!$M$5:$M$33,MATCH(LARGE(FICHAS!$X$5:$X$33,B19),FICHAS!$X$5:$X$33,0))</f>
        <v>Alta</v>
      </c>
      <c r="G19" s="14" t="n">
        <f aca="false">INDEX(FICHAS!$Q$5:$Q$33,MATCH(LARGE(FICHAS!$X$5:$X$33,B19),FICHAS!$X$5:$X$33,0))</f>
        <v>2</v>
      </c>
      <c r="H19" s="16" t="n">
        <f aca="false">INDEX(FICHAS!$S$5:$S$33,MATCH(LARGE(FICHAS!$X$5:$X$33,B19),FICHAS!$X$5:$X$33,0))</f>
        <v>6</v>
      </c>
    </row>
    <row r="20" customFormat="false" ht="15" hidden="false" customHeight="false" outlineLevel="0" collapsed="false">
      <c r="B20" s="14" t="n">
        <v>16</v>
      </c>
      <c r="C20" s="24" t="str">
        <f aca="false">INDEX(FICHAS!$B$5:$B$33,MATCH(LARGE(FICHAS!$X$5:$X$33,B20),FICHAS!$X$5:$X$33,0))</f>
        <v>T25</v>
      </c>
      <c r="D20" s="25" t="str">
        <f aca="false">INDEX(FICHAS!$D$5:$D$33,MATCH(LARGE(FICHAS!$X$5:$X$33,B20),FICHAS!$X$5:$X$33,0))</f>
        <v>Café de especialidad y matcha</v>
      </c>
      <c r="E20" s="14" t="str">
        <f aca="false">INDEX(FICHAS!$C$5:$C$33,MATCH(LARGE(FICHAS!$X$5:$X$33,B20),FICHAS!$X$5:$X$33,0))</f>
        <v>Bebidas</v>
      </c>
      <c r="F20" s="14" t="str">
        <f aca="false">INDEX(FICHAS!$M$5:$M$33,MATCH(LARGE(FICHAS!$X$5:$X$33,B20),FICHAS!$X$5:$X$33,0))</f>
        <v>Alta</v>
      </c>
      <c r="G20" s="14" t="n">
        <f aca="false">INDEX(FICHAS!$Q$5:$Q$33,MATCH(LARGE(FICHAS!$X$5:$X$33,B20),FICHAS!$X$5:$X$33,0))</f>
        <v>2</v>
      </c>
      <c r="H20" s="16" t="n">
        <f aca="false">INDEX(FICHAS!$S$5:$S$33,MATCH(LARGE(FICHAS!$X$5:$X$33,B20),FICHAS!$X$5:$X$33,0))</f>
        <v>6</v>
      </c>
    </row>
    <row r="21" customFormat="false" ht="15" hidden="false" customHeight="false" outlineLevel="0" collapsed="false">
      <c r="B21" s="14" t="n">
        <v>17</v>
      </c>
      <c r="C21" s="24" t="str">
        <f aca="false">INDEX(FICHAS!$B$5:$B$33,MATCH(LARGE(FICHAS!$X$5:$X$33,B21),FICHAS!$X$5:$X$33,0))</f>
        <v>T27</v>
      </c>
      <c r="D21" s="25" t="str">
        <f aca="false">INDEX(FICHAS!$D$5:$D$33,MATCH(LARGE(FICHAS!$X$5:$X$33,B21),FICHAS!$X$5:$X$33,0))</f>
        <v>Panadería-cafetería con obrador (formato 'all day')</v>
      </c>
      <c r="E21" s="14" t="str">
        <f aca="false">INDEX(FICHAS!$C$5:$C$33,MATCH(LARGE(FICHAS!$X$5:$X$33,B21),FICHAS!$X$5:$X$33,0))</f>
        <v>Nuevos formatos</v>
      </c>
      <c r="F21" s="14" t="str">
        <f aca="false">INDEX(FICHAS!$M$5:$M$33,MATCH(LARGE(FICHAS!$X$5:$X$33,B21),FICHAS!$X$5:$X$33,0))</f>
        <v>Alta</v>
      </c>
      <c r="G21" s="14" t="n">
        <f aca="false">INDEX(FICHAS!$Q$5:$Q$33,MATCH(LARGE(FICHAS!$X$5:$X$33,B21),FICHAS!$X$5:$X$33,0))</f>
        <v>2</v>
      </c>
      <c r="H21" s="16" t="n">
        <f aca="false">INDEX(FICHAS!$S$5:$S$33,MATCH(LARGE(FICHAS!$X$5:$X$33,B21),FICHAS!$X$5:$X$33,0))</f>
        <v>6</v>
      </c>
    </row>
    <row r="22" customFormat="false" ht="15" hidden="false" customHeight="false" outlineLevel="0" collapsed="false">
      <c r="B22" s="14" t="n">
        <v>18</v>
      </c>
      <c r="C22" s="24" t="str">
        <f aca="false">INDEX(FICHAS!$B$5:$B$33,MATCH(LARGE(FICHAS!$X$5:$X$33,B22),FICHAS!$X$5:$X$33,0))</f>
        <v>T28</v>
      </c>
      <c r="D22" s="25" t="str">
        <f aca="false">INDEX(FICHAS!$D$5:$D$33,MATCH(LARGE(FICHAS!$X$5:$X$33,B22),FICHAS!$X$5:$X$33,0))</f>
        <v>Delivery: de la euforia a la madurez</v>
      </c>
      <c r="E22" s="14" t="str">
        <f aca="false">INDEX(FICHAS!$C$5:$C$33,MATCH(LARGE(FICHAS!$X$5:$X$33,B22),FICHAS!$X$5:$X$33,0))</f>
        <v>Nuevos formatos</v>
      </c>
      <c r="F22" s="14" t="str">
        <f aca="false">INDEX(FICHAS!$M$5:$M$33,MATCH(LARGE(FICHAS!$X$5:$X$33,B22),FICHAS!$X$5:$X$33,0))</f>
        <v>Alta</v>
      </c>
      <c r="G22" s="14" t="n">
        <f aca="false">INDEX(FICHAS!$Q$5:$Q$33,MATCH(LARGE(FICHAS!$X$5:$X$33,B22),FICHAS!$X$5:$X$33,0))</f>
        <v>2</v>
      </c>
      <c r="H22" s="16" t="n">
        <f aca="false">INDEX(FICHAS!$S$5:$S$33,MATCH(LARGE(FICHAS!$X$5:$X$33,B22),FICHAS!$X$5:$X$33,0))</f>
        <v>6</v>
      </c>
    </row>
    <row r="23" customFormat="false" ht="15" hidden="false" customHeight="false" outlineLevel="0" collapsed="false">
      <c r="B23" s="14" t="n">
        <v>19</v>
      </c>
      <c r="C23" s="24" t="str">
        <f aca="false">INDEX(FICHAS!$B$5:$B$33,MATCH(LARGE(FICHAS!$X$5:$X$33,B23),FICHAS!$X$5:$X$33,0))</f>
        <v>T29</v>
      </c>
      <c r="D23" s="25" t="str">
        <f aca="false">INDEX(FICHAS!$D$5:$D$33,MATCH(LARGE(FICHAS!$X$5:$X$33,B23),FICHAS!$X$5:$X$33,0))</f>
        <v>Regulación urbana de Barcelona: la licencia como activo</v>
      </c>
      <c r="E23" s="14" t="str">
        <f aca="false">INDEX(FICHAS!$C$5:$C$33,MATCH(LARGE(FICHAS!$X$5:$X$33,B23),FICHAS!$X$5:$X$33,0))</f>
        <v>Nuevos formatos</v>
      </c>
      <c r="F23" s="14" t="str">
        <f aca="false">INDEX(FICHAS!$M$5:$M$33,MATCH(LARGE(FICHAS!$X$5:$X$33,B23),FICHAS!$X$5:$X$33,0))</f>
        <v>Alta</v>
      </c>
      <c r="G23" s="14" t="n">
        <f aca="false">INDEX(FICHAS!$Q$5:$Q$33,MATCH(LARGE(FICHAS!$X$5:$X$33,B23),FICHAS!$X$5:$X$33,0))</f>
        <v>2</v>
      </c>
      <c r="H23" s="16" t="n">
        <f aca="false">INDEX(FICHAS!$S$5:$S$33,MATCH(LARGE(FICHAS!$X$5:$X$33,B23),FICHAS!$X$5:$X$33,0))</f>
        <v>6</v>
      </c>
    </row>
    <row r="24" customFormat="false" ht="15" hidden="false" customHeight="false" outlineLevel="0" collapsed="false">
      <c r="B24" s="14" t="n">
        <v>20</v>
      </c>
      <c r="C24" s="24" t="str">
        <f aca="false">INDEX(FICHAS!$B$5:$B$33,MATCH(LARGE(FICHAS!$X$5:$X$33,B24),FICHAS!$X$5:$X$33,0))</f>
        <v>T05</v>
      </c>
      <c r="D24" s="25" t="str">
        <f aca="false">INDEX(FICHAS!$D$5:$D$33,MATCH(LARGE(FICHAS!$X$5:$X$33,B24),FICHAS!$X$5:$X$33,0))</f>
        <v>Proteína visible y verdura protagonista (adiós al sucedáneo)</v>
      </c>
      <c r="E24" s="14" t="str">
        <f aca="false">INDEX(FICHAS!$C$5:$C$33,MATCH(LARGE(FICHAS!$X$5:$X$33,B24),FICHAS!$X$5:$X$33,0))</f>
        <v>Producto</v>
      </c>
      <c r="F24" s="14" t="str">
        <f aca="false">INDEX(FICHAS!$M$5:$M$33,MATCH(LARGE(FICHAS!$X$5:$X$33,B24),FICHAS!$X$5:$X$33,0))</f>
        <v>Media</v>
      </c>
      <c r="G24" s="14" t="n">
        <f aca="false">INDEX(FICHAS!$Q$5:$Q$33,MATCH(LARGE(FICHAS!$X$5:$X$33,B24),FICHAS!$X$5:$X$33,0))</f>
        <v>2</v>
      </c>
      <c r="H24" s="16" t="n">
        <f aca="false">INDEX(FICHAS!$S$5:$S$33,MATCH(LARGE(FICHAS!$X$5:$X$33,B24),FICHAS!$X$5:$X$33,0))</f>
        <v>4</v>
      </c>
    </row>
    <row r="25" customFormat="false" ht="15" hidden="false" customHeight="false" outlineLevel="0" collapsed="false">
      <c r="B25" s="14" t="n">
        <v>21</v>
      </c>
      <c r="C25" s="24" t="str">
        <f aca="false">INDEX(FICHAS!$B$5:$B$33,MATCH(LARGE(FICHAS!$X$5:$X$33,B25),FICHAS!$X$5:$X$33,0))</f>
        <v>T12</v>
      </c>
      <c r="D25" s="25" t="str">
        <f aca="false">INDEX(FICHAS!$D$5:$D$33,MATCH(LARGE(FICHAS!$X$5:$X$33,B25),FICHAS!$X$5:$X$33,0))</f>
        <v>Producción centralizada (cocina central / obrador)</v>
      </c>
      <c r="E25" s="14" t="str">
        <f aca="false">INDEX(FICHAS!$C$5:$C$33,MATCH(LARGE(FICHAS!$X$5:$X$33,B25),FICHAS!$X$5:$X$33,0))</f>
        <v>Operaciones</v>
      </c>
      <c r="F25" s="14" t="str">
        <f aca="false">INDEX(FICHAS!$M$5:$M$33,MATCH(LARGE(FICHAS!$X$5:$X$33,B25),FICHAS!$X$5:$X$33,0))</f>
        <v>Media</v>
      </c>
      <c r="G25" s="14" t="n">
        <f aca="false">INDEX(FICHAS!$Q$5:$Q$33,MATCH(LARGE(FICHAS!$X$5:$X$33,B25),FICHAS!$X$5:$X$33,0))</f>
        <v>2</v>
      </c>
      <c r="H25" s="16" t="n">
        <f aca="false">INDEX(FICHAS!$S$5:$S$33,MATCH(LARGE(FICHAS!$X$5:$X$33,B25),FICHAS!$X$5:$X$33,0))</f>
        <v>4</v>
      </c>
    </row>
    <row r="26" customFormat="false" ht="15" hidden="false" customHeight="false" outlineLevel="0" collapsed="false">
      <c r="B26" s="14" t="n">
        <v>22</v>
      </c>
      <c r="C26" s="24" t="str">
        <f aca="false">INDEX(FICHAS!$B$5:$B$33,MATCH(LARGE(FICHAS!$X$5:$X$33,B26),FICHAS!$X$5:$X$33,0))</f>
        <v>T16</v>
      </c>
      <c r="D26" s="25" t="str">
        <f aca="false">INDEX(FICHAS!$D$5:$D$33,MATCH(LARGE(FICHAS!$X$5:$X$33,B26),FICHAS!$X$5:$X$33,0))</f>
        <v>Precio por franja horaria (dinámico 'suave')</v>
      </c>
      <c r="E26" s="14" t="str">
        <f aca="false">INDEX(FICHAS!$C$5:$C$33,MATCH(LARGE(FICHAS!$X$5:$X$33,B26),FICHAS!$X$5:$X$33,0))</f>
        <v>Rentabilidad</v>
      </c>
      <c r="F26" s="14" t="str">
        <f aca="false">INDEX(FICHAS!$M$5:$M$33,MATCH(LARGE(FICHAS!$X$5:$X$33,B26),FICHAS!$X$5:$X$33,0))</f>
        <v>Media</v>
      </c>
      <c r="G26" s="14" t="n">
        <f aca="false">INDEX(FICHAS!$Q$5:$Q$33,MATCH(LARGE(FICHAS!$X$5:$X$33,B26),FICHAS!$X$5:$X$33,0))</f>
        <v>2</v>
      </c>
      <c r="H26" s="16" t="n">
        <f aca="false">INDEX(FICHAS!$S$5:$S$33,MATCH(LARGE(FICHAS!$X$5:$X$33,B26),FICHAS!$X$5:$X$33,0))</f>
        <v>4</v>
      </c>
    </row>
    <row r="27" customFormat="false" ht="15" hidden="false" customHeight="false" outlineLevel="0" collapsed="false">
      <c r="B27" s="14" t="n">
        <v>23</v>
      </c>
      <c r="C27" s="24" t="str">
        <f aca="false">INDEX(FICHAS!$B$5:$B$33,MATCH(LARGE(FICHAS!$X$5:$X$33,B27),FICHAS!$X$5:$X$33,0))</f>
        <v>T21</v>
      </c>
      <c r="D27" s="25" t="str">
        <f aca="false">INDEX(FICHAS!$D$5:$D$33,MATCH(LARGE(FICHAS!$X$5:$X$33,B27),FICHAS!$X$5:$X$33,0))</f>
        <v>De distintivo verde a gestión medible</v>
      </c>
      <c r="E27" s="14" t="str">
        <f aca="false">INDEX(FICHAS!$C$5:$C$33,MATCH(LARGE(FICHAS!$X$5:$X$33,B27),FICHAS!$X$5:$X$33,0))</f>
        <v>Sostenibilidad</v>
      </c>
      <c r="F27" s="14" t="str">
        <f aca="false">INDEX(FICHAS!$M$5:$M$33,MATCH(LARGE(FICHAS!$X$5:$X$33,B27),FICHAS!$X$5:$X$33,0))</f>
        <v>Alta</v>
      </c>
      <c r="G27" s="14" t="n">
        <f aca="false">INDEX(FICHAS!$Q$5:$Q$33,MATCH(LARGE(FICHAS!$X$5:$X$33,B27),FICHAS!$X$5:$X$33,0))</f>
        <v>1</v>
      </c>
      <c r="H27" s="16" t="n">
        <f aca="false">INDEX(FICHAS!$S$5:$S$33,MATCH(LARGE(FICHAS!$X$5:$X$33,B27),FICHAS!$X$5:$X$33,0))</f>
        <v>3</v>
      </c>
    </row>
    <row r="28" customFormat="false" ht="15" hidden="false" customHeight="false" outlineLevel="0" collapsed="false">
      <c r="B28" s="14" t="n">
        <v>24</v>
      </c>
      <c r="C28" s="24" t="str">
        <f aca="false">INDEX(FICHAS!$B$5:$B$33,MATCH(LARGE(FICHAS!$X$5:$X$33,B28),FICHAS!$X$5:$X$33,0))</f>
        <v>T24</v>
      </c>
      <c r="D28" s="25" t="str">
        <f aca="false">INDEX(FICHAS!$D$5:$D$33,MATCH(LARGE(FICHAS!$X$5:$X$33,B28),FICHAS!$X$5:$X$33,0))</f>
        <v>Vino por copa ampliado</v>
      </c>
      <c r="E28" s="14" t="str">
        <f aca="false">INDEX(FICHAS!$C$5:$C$33,MATCH(LARGE(FICHAS!$X$5:$X$33,B28),FICHAS!$X$5:$X$33,0))</f>
        <v>Bebidas</v>
      </c>
      <c r="F28" s="14" t="str">
        <f aca="false">INDEX(FICHAS!$M$5:$M$33,MATCH(LARGE(FICHAS!$X$5:$X$33,B28),FICHAS!$X$5:$X$33,0))</f>
        <v>Alta</v>
      </c>
      <c r="G28" s="14" t="n">
        <f aca="false">INDEX(FICHAS!$Q$5:$Q$33,MATCH(LARGE(FICHAS!$X$5:$X$33,B28),FICHAS!$X$5:$X$33,0))</f>
        <v>1</v>
      </c>
      <c r="H28" s="16" t="n">
        <f aca="false">INDEX(FICHAS!$S$5:$S$33,MATCH(LARGE(FICHAS!$X$5:$X$33,B28),FICHAS!$X$5:$X$33,0))</f>
        <v>3</v>
      </c>
    </row>
    <row r="29" customFormat="false" ht="15" hidden="false" customHeight="false" outlineLevel="0" collapsed="false">
      <c r="B29" s="14" t="n">
        <v>25</v>
      </c>
      <c r="C29" s="24" t="str">
        <f aca="false">INDEX(FICHAS!$B$5:$B$33,MATCH(LARGE(FICHAS!$X$5:$X$33,B29),FICHAS!$X$5:$X$33,0))</f>
        <v>T06</v>
      </c>
      <c r="D29" s="25" t="str">
        <f aca="false">INDEX(FICHAS!$D$5:$D$33,MATCH(LARGE(FICHAS!$X$5:$X$33,B29),FICHAS!$X$5:$X$33,0))</f>
        <v>Cocinas internacionales concretas y regionales</v>
      </c>
      <c r="E29" s="14" t="str">
        <f aca="false">INDEX(FICHAS!$C$5:$C$33,MATCH(LARGE(FICHAS!$X$5:$X$33,B29),FICHAS!$X$5:$X$33,0))</f>
        <v>Producto</v>
      </c>
      <c r="F29" s="14" t="str">
        <f aca="false">INDEX(FICHAS!$M$5:$M$33,MATCH(LARGE(FICHAS!$X$5:$X$33,B29),FICHAS!$X$5:$X$33,0))</f>
        <v>Media</v>
      </c>
      <c r="G29" s="14" t="n">
        <f aca="false">INDEX(FICHAS!$Q$5:$Q$33,MATCH(LARGE(FICHAS!$X$5:$X$33,B29),FICHAS!$X$5:$X$33,0))</f>
        <v>1</v>
      </c>
      <c r="H29" s="16" t="n">
        <f aca="false">INDEX(FICHAS!$S$5:$S$33,MATCH(LARGE(FICHAS!$X$5:$X$33,B29),FICHAS!$X$5:$X$33,0))</f>
        <v>2</v>
      </c>
    </row>
    <row r="30" customFormat="false" ht="15" hidden="false" customHeight="false" outlineLevel="0" collapsed="false">
      <c r="B30" s="14" t="n">
        <v>26</v>
      </c>
      <c r="C30" s="24" t="str">
        <f aca="false">INDEX(FICHAS!$B$5:$B$33,MATCH(LARGE(FICHAS!$X$5:$X$33,B30),FICHAS!$X$5:$X$33,0))</f>
        <v>T09</v>
      </c>
      <c r="D30" s="25" t="str">
        <f aca="false">INDEX(FICHAS!$D$5:$D$33,MATCH(LARGE(FICHAS!$X$5:$X$33,B30),FICHAS!$X$5:$X$33,0))</f>
        <v>El comensal solo y la barra</v>
      </c>
      <c r="E30" s="14" t="str">
        <f aca="false">INDEX(FICHAS!$C$5:$C$33,MATCH(LARGE(FICHAS!$X$5:$X$33,B30),FICHAS!$X$5:$X$33,0))</f>
        <v>Cliente</v>
      </c>
      <c r="F30" s="14" t="str">
        <f aca="false">INDEX(FICHAS!$M$5:$M$33,MATCH(LARGE(FICHAS!$X$5:$X$33,B30),FICHAS!$X$5:$X$33,0))</f>
        <v>Media</v>
      </c>
      <c r="G30" s="14" t="n">
        <f aca="false">INDEX(FICHAS!$Q$5:$Q$33,MATCH(LARGE(FICHAS!$X$5:$X$33,B30),FICHAS!$X$5:$X$33,0))</f>
        <v>1</v>
      </c>
      <c r="H30" s="16" t="n">
        <f aca="false">INDEX(FICHAS!$S$5:$S$33,MATCH(LARGE(FICHAS!$X$5:$X$33,B30),FICHAS!$X$5:$X$33,0))</f>
        <v>2</v>
      </c>
    </row>
    <row r="31" customFormat="false" ht="15" hidden="false" customHeight="false" outlineLevel="0" collapsed="false">
      <c r="B31" s="14" t="n">
        <v>27</v>
      </c>
      <c r="C31" s="24" t="str">
        <f aca="false">INDEX(FICHAS!$B$5:$B$33,MATCH(LARGE(FICHAS!$X$5:$X$33,B31),FICHAS!$X$5:$X$33,0))</f>
        <v>T10</v>
      </c>
      <c r="D31" s="25" t="str">
        <f aca="false">INDEX(FICHAS!$D$5:$D$33,MATCH(LARGE(FICHAS!$X$5:$X$33,B31),FICHAS!$X$5:$X$33,0))</f>
        <v>Salud, GLP-1 y menos cantidad</v>
      </c>
      <c r="E31" s="14" t="str">
        <f aca="false">INDEX(FICHAS!$C$5:$C$33,MATCH(LARGE(FICHAS!$X$5:$X$33,B31),FICHAS!$X$5:$X$33,0))</f>
        <v>Cliente</v>
      </c>
      <c r="F31" s="14" t="str">
        <f aca="false">INDEX(FICHAS!$M$5:$M$33,MATCH(LARGE(FICHAS!$X$5:$X$33,B31),FICHAS!$X$5:$X$33,0))</f>
        <v>Media</v>
      </c>
      <c r="G31" s="14" t="n">
        <f aca="false">INDEX(FICHAS!$Q$5:$Q$33,MATCH(LARGE(FICHAS!$X$5:$X$33,B31),FICHAS!$X$5:$X$33,0))</f>
        <v>1</v>
      </c>
      <c r="H31" s="16" t="n">
        <f aca="false">INDEX(FICHAS!$S$5:$S$33,MATCH(LARGE(FICHAS!$X$5:$X$33,B31),FICHAS!$X$5:$X$33,0))</f>
        <v>2</v>
      </c>
    </row>
    <row r="32" customFormat="false" ht="15" hidden="false" customHeight="false" outlineLevel="0" collapsed="false">
      <c r="B32" s="14" t="n">
        <v>28</v>
      </c>
      <c r="C32" s="24" t="str">
        <f aca="false">INDEX(FICHAS!$B$5:$B$33,MATCH(LARGE(FICHAS!$X$5:$X$33,B32),FICHAS!$X$5:$X$33,0))</f>
        <v>T18</v>
      </c>
      <c r="D32" s="25" t="str">
        <f aca="false">INDEX(FICHAS!$D$5:$D$33,MATCH(LARGE(FICHAS!$X$5:$X$33,B32),FICHAS!$X$5:$X$33,0))</f>
        <v>Medición automática de mermas con visión artificial</v>
      </c>
      <c r="E32" s="14" t="str">
        <f aca="false">INDEX(FICHAS!$C$5:$C$33,MATCH(LARGE(FICHAS!$X$5:$X$33,B32),FICHAS!$X$5:$X$33,0))</f>
        <v>Tecnología</v>
      </c>
      <c r="F32" s="14" t="str">
        <f aca="false">INDEX(FICHAS!$M$5:$M$33,MATCH(LARGE(FICHAS!$X$5:$X$33,B32),FICHAS!$X$5:$X$33,0))</f>
        <v>Media</v>
      </c>
      <c r="G32" s="14" t="n">
        <f aca="false">INDEX(FICHAS!$Q$5:$Q$33,MATCH(LARGE(FICHAS!$X$5:$X$33,B32),FICHAS!$X$5:$X$33,0))</f>
        <v>1</v>
      </c>
      <c r="H32" s="16" t="n">
        <f aca="false">INDEX(FICHAS!$S$5:$S$33,MATCH(LARGE(FICHAS!$X$5:$X$33,B32),FICHAS!$X$5:$X$33,0))</f>
        <v>2</v>
      </c>
    </row>
    <row r="33" customFormat="false" ht="15" hidden="false" customHeight="false" outlineLevel="0" collapsed="false">
      <c r="B33" s="14" t="n">
        <v>29</v>
      </c>
      <c r="C33" s="24" t="str">
        <f aca="false">INDEX(FICHAS!$B$5:$B$33,MATCH(LARGE(FICHAS!$X$5:$X$33,B33),FICHAS!$X$5:$X$33,0))</f>
        <v>T26</v>
      </c>
      <c r="D33" s="25" t="str">
        <f aca="false">INDEX(FICHAS!$D$5:$D$33,MATCH(LARGE(FICHAS!$X$5:$X$33,B33),FICHAS!$X$5:$X$33,0))</f>
        <v>Food halls y mercados gastronómicos</v>
      </c>
      <c r="E33" s="14" t="str">
        <f aca="false">INDEX(FICHAS!$C$5:$C$33,MATCH(LARGE(FICHAS!$X$5:$X$33,B33),FICHAS!$X$5:$X$33,0))</f>
        <v>Nuevos formatos</v>
      </c>
      <c r="F33" s="14" t="str">
        <f aca="false">INDEX(FICHAS!$M$5:$M$33,MATCH(LARGE(FICHAS!$X$5:$X$33,B33),FICHAS!$X$5:$X$33,0))</f>
        <v>Media</v>
      </c>
      <c r="G33" s="14" t="n">
        <f aca="false">INDEX(FICHAS!$Q$5:$Q$33,MATCH(LARGE(FICHAS!$X$5:$X$33,B33),FICHAS!$X$5:$X$33,0))</f>
        <v>1</v>
      </c>
      <c r="H33" s="16" t="n">
        <f aca="false">INDEX(FICHAS!$S$5:$S$33,MATCH(LARGE(FICHAS!$X$5:$X$33,B33),FICHAS!$X$5:$X$33,0))</f>
        <v>2</v>
      </c>
    </row>
  </sheetData>
  <conditionalFormatting sqref="H5:H33">
    <cfRule type="cellIs" priority="2" operator="greaterThanOrEqual" aboveAverage="0" equalAverage="0" bottom="0" percent="0" rank="0" text="" dxfId="9">
      <formula>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52"/>
    <col collapsed="false" customWidth="true" hidden="false" outlineLevel="0" max="6" min="6" style="0" width="34"/>
  </cols>
  <sheetData>
    <row r="1" customFormat="false" ht="30" hidden="false" customHeight="true" outlineLevel="0" collapsed="false">
      <c r="B1" s="1" t="s">
        <v>455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3" t="s">
        <v>456</v>
      </c>
    </row>
    <row r="4" customFormat="false" ht="15" hidden="false" customHeight="false" outlineLevel="0" collapsed="false">
      <c r="B4" s="10" t="s">
        <v>457</v>
      </c>
      <c r="C4" s="10" t="s">
        <v>458</v>
      </c>
      <c r="D4" s="10" t="s">
        <v>35</v>
      </c>
      <c r="E4" s="10" t="s">
        <v>459</v>
      </c>
      <c r="F4" s="10" t="s">
        <v>460</v>
      </c>
    </row>
    <row r="5" customFormat="false" ht="25.35" hidden="false" customHeight="false" outlineLevel="0" collapsed="false">
      <c r="B5" s="12" t="s">
        <v>461</v>
      </c>
      <c r="C5" s="26" t="s">
        <v>462</v>
      </c>
      <c r="D5" s="26" t="s">
        <v>54</v>
      </c>
      <c r="E5" s="26" t="s">
        <v>463</v>
      </c>
      <c r="F5" s="26" t="s">
        <v>464</v>
      </c>
    </row>
    <row r="6" customFormat="false" ht="15" hidden="false" customHeight="false" outlineLevel="0" collapsed="false">
      <c r="B6" s="12" t="s">
        <v>465</v>
      </c>
      <c r="C6" s="26" t="s">
        <v>466</v>
      </c>
      <c r="D6" s="26" t="s">
        <v>54</v>
      </c>
      <c r="E6" s="26" t="s">
        <v>467</v>
      </c>
      <c r="F6" s="26" t="s">
        <v>468</v>
      </c>
    </row>
    <row r="7" customFormat="false" ht="15" hidden="false" customHeight="false" outlineLevel="0" collapsed="false">
      <c r="B7" s="12" t="s">
        <v>469</v>
      </c>
      <c r="C7" s="26" t="s">
        <v>470</v>
      </c>
      <c r="D7" s="26" t="s">
        <v>54</v>
      </c>
      <c r="E7" s="26" t="s">
        <v>471</v>
      </c>
      <c r="F7" s="26" t="s">
        <v>472</v>
      </c>
    </row>
    <row r="8" customFormat="false" ht="15" hidden="false" customHeight="false" outlineLevel="0" collapsed="false">
      <c r="B8" s="12" t="s">
        <v>473</v>
      </c>
      <c r="C8" s="26" t="s">
        <v>474</v>
      </c>
      <c r="D8" s="26" t="s">
        <v>73</v>
      </c>
      <c r="E8" s="26" t="s">
        <v>475</v>
      </c>
      <c r="F8" s="26" t="s">
        <v>476</v>
      </c>
    </row>
    <row r="9" customFormat="false" ht="15" hidden="false" customHeight="false" outlineLevel="0" collapsed="false">
      <c r="B9" s="12" t="s">
        <v>477</v>
      </c>
      <c r="C9" s="26" t="s">
        <v>474</v>
      </c>
      <c r="D9" s="26" t="s">
        <v>478</v>
      </c>
      <c r="E9" s="26" t="s">
        <v>479</v>
      </c>
      <c r="F9" s="26" t="s">
        <v>476</v>
      </c>
    </row>
    <row r="10" customFormat="false" ht="15" hidden="false" customHeight="false" outlineLevel="0" collapsed="false">
      <c r="B10" s="12" t="s">
        <v>480</v>
      </c>
      <c r="C10" s="26" t="s">
        <v>474</v>
      </c>
      <c r="D10" s="26" t="s">
        <v>103</v>
      </c>
      <c r="E10" s="26" t="s">
        <v>481</v>
      </c>
      <c r="F10" s="26" t="s">
        <v>476</v>
      </c>
    </row>
    <row r="11" customFormat="false" ht="25.35" hidden="false" customHeight="false" outlineLevel="0" collapsed="false">
      <c r="B11" s="12" t="s">
        <v>482</v>
      </c>
      <c r="C11" s="26" t="s">
        <v>483</v>
      </c>
      <c r="D11" s="26" t="s">
        <v>103</v>
      </c>
      <c r="E11" s="26" t="s">
        <v>484</v>
      </c>
      <c r="F11" s="26" t="s">
        <v>485</v>
      </c>
    </row>
    <row r="12" customFormat="false" ht="25.35" hidden="false" customHeight="false" outlineLevel="0" collapsed="false">
      <c r="B12" s="12" t="s">
        <v>486</v>
      </c>
      <c r="C12" s="26" t="s">
        <v>487</v>
      </c>
      <c r="D12" s="26" t="s">
        <v>488</v>
      </c>
      <c r="E12" s="26" t="s">
        <v>489</v>
      </c>
      <c r="F12" s="26" t="s">
        <v>490</v>
      </c>
    </row>
    <row r="13" customFormat="false" ht="15" hidden="false" customHeight="false" outlineLevel="0" collapsed="false">
      <c r="B13" s="12" t="s">
        <v>491</v>
      </c>
      <c r="C13" s="26" t="s">
        <v>492</v>
      </c>
      <c r="D13" s="26" t="s">
        <v>493</v>
      </c>
      <c r="E13" s="26" t="s">
        <v>494</v>
      </c>
      <c r="F13" s="26" t="s">
        <v>495</v>
      </c>
    </row>
    <row r="14" customFormat="false" ht="15" hidden="false" customHeight="false" outlineLevel="0" collapsed="false">
      <c r="B14" s="12" t="s">
        <v>496</v>
      </c>
      <c r="C14" s="26" t="s">
        <v>474</v>
      </c>
      <c r="D14" s="26" t="s">
        <v>134</v>
      </c>
      <c r="E14" s="26" t="s">
        <v>497</v>
      </c>
      <c r="F14" s="26" t="s">
        <v>476</v>
      </c>
    </row>
    <row r="15" customFormat="false" ht="25.35" hidden="false" customHeight="false" outlineLevel="0" collapsed="false">
      <c r="B15" s="12" t="s">
        <v>498</v>
      </c>
      <c r="C15" s="26" t="s">
        <v>474</v>
      </c>
      <c r="D15" s="26" t="s">
        <v>148</v>
      </c>
      <c r="E15" s="26" t="s">
        <v>499</v>
      </c>
      <c r="F15" s="26" t="s">
        <v>500</v>
      </c>
    </row>
    <row r="16" customFormat="false" ht="25.35" hidden="false" customHeight="false" outlineLevel="0" collapsed="false">
      <c r="B16" s="12" t="s">
        <v>501</v>
      </c>
      <c r="C16" s="26" t="s">
        <v>502</v>
      </c>
      <c r="D16" s="26" t="s">
        <v>242</v>
      </c>
      <c r="E16" s="26" t="s">
        <v>503</v>
      </c>
      <c r="F16" s="26" t="s">
        <v>504</v>
      </c>
    </row>
    <row r="17" customFormat="false" ht="15" hidden="false" customHeight="false" outlineLevel="0" collapsed="false">
      <c r="B17" s="12" t="s">
        <v>505</v>
      </c>
      <c r="C17" s="26" t="s">
        <v>506</v>
      </c>
      <c r="D17" s="26" t="s">
        <v>242</v>
      </c>
      <c r="E17" s="26" t="s">
        <v>507</v>
      </c>
      <c r="F17" s="26" t="s">
        <v>490</v>
      </c>
    </row>
    <row r="18" customFormat="false" ht="15" hidden="false" customHeight="false" outlineLevel="0" collapsed="false">
      <c r="B18" s="12" t="s">
        <v>508</v>
      </c>
      <c r="C18" s="26" t="s">
        <v>462</v>
      </c>
      <c r="D18" s="26" t="s">
        <v>242</v>
      </c>
      <c r="E18" s="26" t="s">
        <v>509</v>
      </c>
      <c r="F18" s="26" t="s">
        <v>490</v>
      </c>
    </row>
    <row r="19" customFormat="false" ht="15" hidden="false" customHeight="false" outlineLevel="0" collapsed="false">
      <c r="B19" s="12" t="s">
        <v>510</v>
      </c>
      <c r="C19" s="26" t="s">
        <v>511</v>
      </c>
      <c r="D19" s="26" t="s">
        <v>255</v>
      </c>
      <c r="E19" s="26" t="s">
        <v>512</v>
      </c>
      <c r="F19" s="26" t="s">
        <v>513</v>
      </c>
    </row>
    <row r="20" customFormat="false" ht="15" hidden="false" customHeight="false" outlineLevel="0" collapsed="false">
      <c r="B20" s="12" t="s">
        <v>514</v>
      </c>
      <c r="C20" s="26" t="s">
        <v>515</v>
      </c>
      <c r="D20" s="26" t="s">
        <v>255</v>
      </c>
      <c r="E20" s="26" t="s">
        <v>516</v>
      </c>
      <c r="F20" s="26" t="s">
        <v>517</v>
      </c>
    </row>
    <row r="21" customFormat="false" ht="15" hidden="false" customHeight="false" outlineLevel="0" collapsed="false">
      <c r="B21" s="12" t="s">
        <v>518</v>
      </c>
      <c r="C21" s="26" t="s">
        <v>492</v>
      </c>
      <c r="D21" s="26" t="s">
        <v>267</v>
      </c>
      <c r="E21" s="26" t="s">
        <v>519</v>
      </c>
      <c r="F21" s="26" t="s">
        <v>520</v>
      </c>
    </row>
    <row r="22" customFormat="false" ht="15" hidden="false" customHeight="false" outlineLevel="0" collapsed="false">
      <c r="B22" s="12" t="s">
        <v>521</v>
      </c>
      <c r="C22" s="26" t="s">
        <v>522</v>
      </c>
      <c r="D22" s="26" t="s">
        <v>292</v>
      </c>
      <c r="E22" s="26" t="s">
        <v>523</v>
      </c>
      <c r="F22" s="26" t="s">
        <v>524</v>
      </c>
    </row>
    <row r="23" customFormat="false" ht="15" hidden="false" customHeight="false" outlineLevel="0" collapsed="false">
      <c r="B23" s="12" t="s">
        <v>525</v>
      </c>
      <c r="C23" s="26" t="s">
        <v>526</v>
      </c>
      <c r="D23" s="26" t="s">
        <v>216</v>
      </c>
      <c r="E23" s="26" t="s">
        <v>527</v>
      </c>
      <c r="F23" s="26" t="s">
        <v>528</v>
      </c>
    </row>
    <row r="24" customFormat="false" ht="15" hidden="false" customHeight="false" outlineLevel="0" collapsed="false">
      <c r="B24" s="12" t="s">
        <v>529</v>
      </c>
      <c r="C24" s="26" t="s">
        <v>462</v>
      </c>
      <c r="D24" s="26" t="s">
        <v>530</v>
      </c>
      <c r="E24" s="26" t="s">
        <v>531</v>
      </c>
      <c r="F24" s="26" t="s">
        <v>532</v>
      </c>
    </row>
    <row r="25" customFormat="false" ht="15" hidden="false" customHeight="false" outlineLevel="0" collapsed="false">
      <c r="B25" s="12" t="s">
        <v>533</v>
      </c>
      <c r="C25" s="26" t="s">
        <v>462</v>
      </c>
      <c r="D25" s="26" t="s">
        <v>342</v>
      </c>
      <c r="E25" s="26" t="s">
        <v>534</v>
      </c>
      <c r="F25" s="26" t="s">
        <v>535</v>
      </c>
    </row>
    <row r="26" customFormat="false" ht="15" hidden="false" customHeight="false" outlineLevel="0" collapsed="false">
      <c r="B26" s="12" t="s">
        <v>536</v>
      </c>
      <c r="C26" s="26" t="s">
        <v>462</v>
      </c>
      <c r="D26" s="26" t="s">
        <v>342</v>
      </c>
      <c r="E26" s="26" t="s">
        <v>537</v>
      </c>
      <c r="F26" s="26" t="s">
        <v>538</v>
      </c>
    </row>
    <row r="27" customFormat="false" ht="15" hidden="false" customHeight="false" outlineLevel="0" collapsed="false">
      <c r="B27" s="12" t="s">
        <v>539</v>
      </c>
      <c r="C27" s="26" t="s">
        <v>462</v>
      </c>
      <c r="D27" s="26" t="s">
        <v>356</v>
      </c>
      <c r="E27" s="26" t="s">
        <v>540</v>
      </c>
      <c r="F27" s="26" t="s">
        <v>541</v>
      </c>
    </row>
    <row r="28" customFormat="false" ht="15" hidden="false" customHeight="false" outlineLevel="0" collapsed="false">
      <c r="B28" s="12" t="s">
        <v>542</v>
      </c>
      <c r="C28" s="26" t="s">
        <v>462</v>
      </c>
      <c r="D28" s="26" t="s">
        <v>543</v>
      </c>
      <c r="E28" s="26" t="s">
        <v>544</v>
      </c>
      <c r="F28" s="26" t="s">
        <v>545</v>
      </c>
    </row>
    <row r="29" customFormat="false" ht="15" hidden="false" customHeight="false" outlineLevel="0" collapsed="false">
      <c r="B29" s="12" t="s">
        <v>546</v>
      </c>
      <c r="C29" s="26" t="s">
        <v>474</v>
      </c>
      <c r="D29" s="26" t="s">
        <v>356</v>
      </c>
      <c r="E29" s="26" t="s">
        <v>540</v>
      </c>
      <c r="F29" s="26" t="s">
        <v>547</v>
      </c>
    </row>
    <row r="30" customFormat="false" ht="15" hidden="false" customHeight="false" outlineLevel="0" collapsed="false">
      <c r="B30" s="12" t="s">
        <v>548</v>
      </c>
      <c r="C30" s="26" t="s">
        <v>462</v>
      </c>
      <c r="D30" s="26" t="s">
        <v>380</v>
      </c>
      <c r="E30" s="26" t="s">
        <v>549</v>
      </c>
      <c r="F30" s="26" t="s">
        <v>490</v>
      </c>
    </row>
    <row r="31" customFormat="false" ht="15" hidden="false" customHeight="false" outlineLevel="0" collapsed="false">
      <c r="B31" s="12" t="s">
        <v>550</v>
      </c>
      <c r="C31" s="26" t="s">
        <v>515</v>
      </c>
      <c r="D31" s="26" t="s">
        <v>551</v>
      </c>
      <c r="E31" s="26" t="s">
        <v>552</v>
      </c>
      <c r="F31" s="26" t="s">
        <v>553</v>
      </c>
    </row>
    <row r="32" customFormat="false" ht="15" hidden="false" customHeight="false" outlineLevel="0" collapsed="false">
      <c r="B32" s="12" t="s">
        <v>554</v>
      </c>
      <c r="C32" s="26" t="s">
        <v>462</v>
      </c>
      <c r="D32" s="26" t="s">
        <v>392</v>
      </c>
      <c r="E32" s="26" t="s">
        <v>555</v>
      </c>
      <c r="F32" s="26" t="s">
        <v>556</v>
      </c>
    </row>
    <row r="33" customFormat="false" ht="15" hidden="false" customHeight="false" outlineLevel="0" collapsed="false">
      <c r="B33" s="12" t="s">
        <v>557</v>
      </c>
      <c r="C33" s="26" t="s">
        <v>474</v>
      </c>
      <c r="D33" s="26" t="s">
        <v>392</v>
      </c>
      <c r="E33" s="26" t="s">
        <v>558</v>
      </c>
      <c r="F33" s="26" t="s">
        <v>559</v>
      </c>
    </row>
    <row r="34" customFormat="false" ht="15" hidden="false" customHeight="false" outlineLevel="0" collapsed="false">
      <c r="B34" s="12" t="s">
        <v>560</v>
      </c>
      <c r="C34" s="26" t="s">
        <v>487</v>
      </c>
      <c r="D34" s="26" t="s">
        <v>406</v>
      </c>
      <c r="E34" s="26" t="s">
        <v>561</v>
      </c>
      <c r="F34" s="26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30"/>
  </cols>
  <sheetData>
    <row r="1" customFormat="false" ht="30" hidden="false" customHeight="true" outlineLevel="0" collapsed="false">
      <c r="B1" s="1" t="s">
        <v>563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564</v>
      </c>
    </row>
    <row r="4" customFormat="false" ht="15" hidden="false" customHeight="false" outlineLevel="0" collapsed="false">
      <c r="B4" s="10" t="s">
        <v>35</v>
      </c>
      <c r="C4" s="10" t="s">
        <v>565</v>
      </c>
      <c r="D4" s="10" t="s">
        <v>566</v>
      </c>
      <c r="E4" s="10" t="s">
        <v>50</v>
      </c>
      <c r="F4" s="10" t="s">
        <v>567</v>
      </c>
      <c r="G4" s="10" t="s">
        <v>568</v>
      </c>
    </row>
    <row r="5" customFormat="false" ht="45" hidden="false" customHeight="true" outlineLevel="0" collapsed="false">
      <c r="B5" s="26" t="s">
        <v>54</v>
      </c>
      <c r="C5" s="26" t="s">
        <v>569</v>
      </c>
      <c r="D5" s="26" t="s">
        <v>570</v>
      </c>
      <c r="E5" s="26" t="s">
        <v>70</v>
      </c>
      <c r="F5" s="27"/>
      <c r="G5" s="27"/>
    </row>
    <row r="6" customFormat="false" ht="45" hidden="false" customHeight="true" outlineLevel="0" collapsed="false">
      <c r="B6" s="26" t="s">
        <v>73</v>
      </c>
      <c r="C6" s="26" t="s">
        <v>571</v>
      </c>
      <c r="D6" s="26" t="s">
        <v>572</v>
      </c>
      <c r="E6" s="26" t="s">
        <v>85</v>
      </c>
      <c r="F6" s="27"/>
      <c r="G6" s="27"/>
    </row>
    <row r="7" customFormat="false" ht="45" hidden="false" customHeight="true" outlineLevel="0" collapsed="false">
      <c r="B7" s="26" t="s">
        <v>88</v>
      </c>
      <c r="C7" s="26" t="s">
        <v>573</v>
      </c>
      <c r="D7" s="26" t="s">
        <v>574</v>
      </c>
      <c r="E7" s="26" t="s">
        <v>100</v>
      </c>
      <c r="F7" s="27"/>
      <c r="G7" s="27"/>
    </row>
    <row r="8" customFormat="false" ht="45" hidden="false" customHeight="true" outlineLevel="0" collapsed="false">
      <c r="B8" s="26" t="s">
        <v>103</v>
      </c>
      <c r="C8" s="26" t="s">
        <v>575</v>
      </c>
      <c r="D8" s="26" t="s">
        <v>576</v>
      </c>
      <c r="E8" s="26" t="s">
        <v>115</v>
      </c>
      <c r="F8" s="27"/>
      <c r="G8" s="27"/>
    </row>
    <row r="9" customFormat="false" ht="45" hidden="false" customHeight="true" outlineLevel="0" collapsed="false">
      <c r="B9" s="26" t="s">
        <v>118</v>
      </c>
      <c r="C9" s="26" t="s">
        <v>573</v>
      </c>
      <c r="D9" s="26" t="s">
        <v>577</v>
      </c>
      <c r="E9" s="26" t="s">
        <v>131</v>
      </c>
      <c r="F9" s="27"/>
      <c r="G9" s="27"/>
    </row>
    <row r="10" customFormat="false" ht="45" hidden="false" customHeight="true" outlineLevel="0" collapsed="false">
      <c r="B10" s="26" t="s">
        <v>134</v>
      </c>
      <c r="C10" s="26" t="s">
        <v>578</v>
      </c>
      <c r="D10" s="26" t="s">
        <v>579</v>
      </c>
      <c r="E10" s="26" t="s">
        <v>131</v>
      </c>
      <c r="F10" s="27"/>
      <c r="G10" s="27"/>
    </row>
    <row r="11" customFormat="false" ht="45" hidden="false" customHeight="true" outlineLevel="0" collapsed="false">
      <c r="B11" s="26" t="s">
        <v>148</v>
      </c>
      <c r="C11" s="26" t="s">
        <v>580</v>
      </c>
      <c r="D11" s="26" t="s">
        <v>581</v>
      </c>
      <c r="E11" s="26" t="s">
        <v>100</v>
      </c>
      <c r="F11" s="27"/>
      <c r="G11" s="27"/>
    </row>
    <row r="12" customFormat="false" ht="45" hidden="false" customHeight="true" outlineLevel="0" collapsed="false">
      <c r="B12" s="26" t="s">
        <v>162</v>
      </c>
      <c r="C12" s="26" t="s">
        <v>569</v>
      </c>
      <c r="D12" s="26" t="s">
        <v>582</v>
      </c>
      <c r="E12" s="26" t="s">
        <v>85</v>
      </c>
      <c r="F12" s="27"/>
      <c r="G12" s="27"/>
    </row>
    <row r="13" customFormat="false" ht="45" hidden="false" customHeight="true" outlineLevel="0" collapsed="false">
      <c r="B13" s="26" t="s">
        <v>175</v>
      </c>
      <c r="C13" s="26" t="s">
        <v>575</v>
      </c>
      <c r="D13" s="26" t="s">
        <v>583</v>
      </c>
      <c r="E13" s="26" t="s">
        <v>131</v>
      </c>
      <c r="F13" s="27"/>
      <c r="G13" s="27"/>
    </row>
    <row r="14" customFormat="false" ht="45" hidden="false" customHeight="true" outlineLevel="0" collapsed="false">
      <c r="B14" s="26" t="s">
        <v>189</v>
      </c>
      <c r="C14" s="26" t="s">
        <v>584</v>
      </c>
      <c r="D14" s="26" t="s">
        <v>585</v>
      </c>
      <c r="E14" s="26" t="s">
        <v>131</v>
      </c>
      <c r="F14" s="27"/>
      <c r="G14" s="27"/>
    </row>
    <row r="15" customFormat="false" ht="45" hidden="false" customHeight="true" outlineLevel="0" collapsed="false">
      <c r="B15" s="26" t="s">
        <v>202</v>
      </c>
      <c r="C15" s="26" t="s">
        <v>580</v>
      </c>
      <c r="D15" s="26" t="s">
        <v>586</v>
      </c>
      <c r="E15" s="26" t="s">
        <v>115</v>
      </c>
      <c r="F15" s="27"/>
      <c r="G15" s="27"/>
    </row>
    <row r="16" customFormat="false" ht="45" hidden="false" customHeight="true" outlineLevel="0" collapsed="false">
      <c r="B16" s="26" t="s">
        <v>216</v>
      </c>
      <c r="C16" s="26" t="s">
        <v>580</v>
      </c>
      <c r="D16" s="26" t="s">
        <v>587</v>
      </c>
      <c r="E16" s="26" t="s">
        <v>100</v>
      </c>
      <c r="F16" s="27"/>
      <c r="G16" s="27"/>
    </row>
    <row r="17" customFormat="false" ht="45" hidden="false" customHeight="true" outlineLevel="0" collapsed="false">
      <c r="B17" s="26" t="s">
        <v>229</v>
      </c>
      <c r="C17" s="26" t="s">
        <v>314</v>
      </c>
      <c r="D17" s="26" t="s">
        <v>588</v>
      </c>
      <c r="E17" s="26" t="s">
        <v>239</v>
      </c>
      <c r="F17" s="27"/>
      <c r="G17" s="27"/>
    </row>
    <row r="18" customFormat="false" ht="45" hidden="false" customHeight="true" outlineLevel="0" collapsed="false">
      <c r="B18" s="26" t="s">
        <v>242</v>
      </c>
      <c r="C18" s="26" t="s">
        <v>314</v>
      </c>
      <c r="D18" s="26" t="s">
        <v>589</v>
      </c>
      <c r="E18" s="26" t="s">
        <v>239</v>
      </c>
      <c r="F18" s="27"/>
      <c r="G18" s="27"/>
    </row>
    <row r="19" customFormat="false" ht="45" hidden="false" customHeight="true" outlineLevel="0" collapsed="false">
      <c r="B19" s="26" t="s">
        <v>255</v>
      </c>
      <c r="C19" s="26" t="s">
        <v>580</v>
      </c>
      <c r="D19" s="26" t="s">
        <v>590</v>
      </c>
      <c r="E19" s="26" t="s">
        <v>100</v>
      </c>
      <c r="F19" s="27"/>
      <c r="G19" s="27"/>
    </row>
    <row r="20" customFormat="false" ht="45" hidden="false" customHeight="true" outlineLevel="0" collapsed="false">
      <c r="B20" s="26" t="s">
        <v>267</v>
      </c>
      <c r="C20" s="26" t="s">
        <v>573</v>
      </c>
      <c r="D20" s="26" t="s">
        <v>591</v>
      </c>
      <c r="E20" s="26" t="s">
        <v>239</v>
      </c>
      <c r="F20" s="27"/>
      <c r="G20" s="27"/>
    </row>
    <row r="21" customFormat="false" ht="45" hidden="false" customHeight="true" outlineLevel="0" collapsed="false">
      <c r="B21" s="26" t="s">
        <v>279</v>
      </c>
      <c r="C21" s="26" t="s">
        <v>571</v>
      </c>
      <c r="D21" s="26" t="s">
        <v>592</v>
      </c>
      <c r="E21" s="26" t="s">
        <v>100</v>
      </c>
      <c r="F21" s="27"/>
      <c r="G21" s="27"/>
    </row>
    <row r="22" customFormat="false" ht="45" hidden="false" customHeight="true" outlineLevel="0" collapsed="false">
      <c r="B22" s="26" t="s">
        <v>292</v>
      </c>
      <c r="C22" s="26" t="s">
        <v>302</v>
      </c>
      <c r="D22" s="26" t="s">
        <v>593</v>
      </c>
      <c r="E22" s="26" t="s">
        <v>239</v>
      </c>
      <c r="F22" s="27"/>
      <c r="G22" s="27"/>
    </row>
    <row r="23" customFormat="false" ht="45" hidden="false" customHeight="true" outlineLevel="0" collapsed="false">
      <c r="B23" s="26" t="s">
        <v>305</v>
      </c>
      <c r="C23" s="26" t="s">
        <v>314</v>
      </c>
      <c r="D23" s="26" t="s">
        <v>594</v>
      </c>
      <c r="E23" s="26" t="s">
        <v>239</v>
      </c>
      <c r="F23" s="27"/>
      <c r="G23" s="27"/>
    </row>
    <row r="24" customFormat="false" ht="45" hidden="false" customHeight="true" outlineLevel="0" collapsed="false">
      <c r="B24" s="26" t="s">
        <v>317</v>
      </c>
      <c r="C24" s="26" t="s">
        <v>302</v>
      </c>
      <c r="D24" s="26" t="s">
        <v>595</v>
      </c>
      <c r="E24" s="26" t="s">
        <v>100</v>
      </c>
      <c r="F24" s="27"/>
      <c r="G24" s="27"/>
    </row>
    <row r="25" customFormat="false" ht="45" hidden="false" customHeight="true" outlineLevel="0" collapsed="false">
      <c r="B25" s="26" t="s">
        <v>329</v>
      </c>
      <c r="C25" s="26" t="s">
        <v>578</v>
      </c>
      <c r="D25" s="26" t="s">
        <v>596</v>
      </c>
      <c r="E25" s="26" t="s">
        <v>131</v>
      </c>
      <c r="F25" s="27"/>
      <c r="G25" s="27"/>
    </row>
    <row r="26" customFormat="false" ht="45" hidden="false" customHeight="true" outlineLevel="0" collapsed="false">
      <c r="B26" s="26" t="s">
        <v>342</v>
      </c>
      <c r="C26" s="26" t="s">
        <v>597</v>
      </c>
      <c r="D26" s="26" t="s">
        <v>598</v>
      </c>
      <c r="E26" s="26" t="s">
        <v>85</v>
      </c>
      <c r="F26" s="27"/>
      <c r="G26" s="27"/>
    </row>
    <row r="27" customFormat="false" ht="45" hidden="false" customHeight="true" outlineLevel="0" collapsed="false">
      <c r="B27" s="26" t="s">
        <v>356</v>
      </c>
      <c r="C27" s="26" t="s">
        <v>597</v>
      </c>
      <c r="D27" s="26" t="s">
        <v>599</v>
      </c>
      <c r="E27" s="26" t="s">
        <v>85</v>
      </c>
      <c r="F27" s="27"/>
      <c r="G27" s="27"/>
    </row>
    <row r="28" customFormat="false" ht="45" hidden="false" customHeight="true" outlineLevel="0" collapsed="false">
      <c r="B28" s="26" t="s">
        <v>368</v>
      </c>
      <c r="C28" s="26" t="s">
        <v>597</v>
      </c>
      <c r="D28" s="26" t="s">
        <v>600</v>
      </c>
      <c r="E28" s="26" t="s">
        <v>239</v>
      </c>
      <c r="F28" s="27"/>
      <c r="G28" s="27"/>
    </row>
    <row r="29" customFormat="false" ht="45" hidden="false" customHeight="true" outlineLevel="0" collapsed="false">
      <c r="B29" s="26" t="s">
        <v>380</v>
      </c>
      <c r="C29" s="26" t="s">
        <v>601</v>
      </c>
      <c r="D29" s="26" t="s">
        <v>602</v>
      </c>
      <c r="E29" s="26" t="s">
        <v>85</v>
      </c>
      <c r="F29" s="27"/>
      <c r="G29" s="27"/>
    </row>
    <row r="30" customFormat="false" ht="45" hidden="false" customHeight="true" outlineLevel="0" collapsed="false">
      <c r="B30" s="26" t="s">
        <v>392</v>
      </c>
      <c r="C30" s="26" t="s">
        <v>603</v>
      </c>
      <c r="D30" s="26" t="s">
        <v>604</v>
      </c>
      <c r="E30" s="26" t="s">
        <v>115</v>
      </c>
      <c r="F30" s="27"/>
      <c r="G30" s="27"/>
    </row>
    <row r="31" customFormat="false" ht="45" hidden="false" customHeight="true" outlineLevel="0" collapsed="false">
      <c r="B31" s="26" t="s">
        <v>406</v>
      </c>
      <c r="C31" s="26" t="s">
        <v>302</v>
      </c>
      <c r="D31" s="26" t="s">
        <v>605</v>
      </c>
      <c r="E31" s="26" t="s">
        <v>100</v>
      </c>
      <c r="F31" s="27"/>
      <c r="G31" s="27"/>
    </row>
    <row r="32" customFormat="false" ht="45" hidden="false" customHeight="true" outlineLevel="0" collapsed="false">
      <c r="B32" s="26" t="s">
        <v>417</v>
      </c>
      <c r="C32" s="26" t="s">
        <v>314</v>
      </c>
      <c r="D32" s="26" t="s">
        <v>606</v>
      </c>
      <c r="E32" s="26" t="s">
        <v>239</v>
      </c>
      <c r="F32" s="27"/>
      <c r="G32" s="27"/>
    </row>
    <row r="33" customFormat="false" ht="45" hidden="false" customHeight="true" outlineLevel="0" collapsed="false">
      <c r="B33" s="26" t="s">
        <v>428</v>
      </c>
      <c r="C33" s="26" t="s">
        <v>575</v>
      </c>
      <c r="D33" s="26" t="s">
        <v>607</v>
      </c>
      <c r="E33" s="26" t="s">
        <v>70</v>
      </c>
      <c r="F33" s="27"/>
      <c r="G33" s="27"/>
    </row>
    <row r="35" customFormat="false" ht="15" hidden="false" customHeight="false" outlineLevel="0" collapsed="false">
      <c r="B35" s="8" t="s">
        <v>608</v>
      </c>
    </row>
    <row r="36" customFormat="false" ht="15" hidden="false" customHeight="false" outlineLevel="0" collapsed="false">
      <c r="B36" s="28" t="s">
        <v>609</v>
      </c>
      <c r="C36" s="28" t="n">
        <f aca="false">COUNTIF($F$5:$F$33,B36)</f>
        <v>0</v>
      </c>
    </row>
    <row r="37" customFormat="false" ht="15" hidden="false" customHeight="false" outlineLevel="0" collapsed="false">
      <c r="B37" s="28" t="s">
        <v>610</v>
      </c>
      <c r="C37" s="28" t="n">
        <f aca="false">COUNTIF($F$5:$F$33,B37)</f>
        <v>0</v>
      </c>
    </row>
    <row r="38" customFormat="false" ht="15" hidden="false" customHeight="false" outlineLevel="0" collapsed="false">
      <c r="B38" s="28" t="s">
        <v>611</v>
      </c>
      <c r="C38" s="28" t="n">
        <f aca="false">COUNTIF($F$5:$F$33,B38)</f>
        <v>0</v>
      </c>
    </row>
    <row r="39" customFormat="false" ht="15" hidden="false" customHeight="false" outlineLevel="0" collapsed="false">
      <c r="B39" s="28" t="s">
        <v>612</v>
      </c>
      <c r="C39" s="28" t="n">
        <f aca="false">COUNTIF($F$5:$F$33,B39)</f>
        <v>0</v>
      </c>
    </row>
    <row r="41" customFormat="false" ht="15" hidden="false" customHeight="false" outlineLevel="0" collapsed="false">
      <c r="B41" s="29" t="s">
        <v>613</v>
      </c>
    </row>
  </sheetData>
  <dataValidations count="1">
    <dataValidation allowBlank="true" errorStyle="stop" operator="between" showDropDown="false" showErrorMessage="false" showInputMessage="false" sqref="F5:F33" type="list">
      <formula1>"Incluir,Incluir con cambios,Descartar,Pendiente"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0"/>
    <col collapsed="false" customWidth="true" hidden="false" outlineLevel="0" max="3" min="3" style="0" width="22"/>
  </cols>
  <sheetData>
    <row r="1" customFormat="false" ht="30" hidden="false" customHeight="true" outlineLevel="0" collapsed="false">
      <c r="B1" s="1" t="s">
        <v>29</v>
      </c>
      <c r="C1" s="2"/>
      <c r="D1" s="2"/>
      <c r="E1" s="2"/>
    </row>
    <row r="2" customFormat="false" ht="15" hidden="false" customHeight="false" outlineLevel="0" collapsed="false">
      <c r="B2" s="3" t="s">
        <v>614</v>
      </c>
    </row>
    <row r="4" customFormat="false" ht="15" hidden="false" customHeight="false" outlineLevel="0" collapsed="false">
      <c r="B4" s="10" t="s">
        <v>615</v>
      </c>
      <c r="C4" s="10" t="s">
        <v>616</v>
      </c>
    </row>
    <row r="5" customFormat="false" ht="15" hidden="false" customHeight="false" outlineLevel="0" collapsed="false">
      <c r="B5" s="30" t="s">
        <v>617</v>
      </c>
      <c r="C5" s="31" t="s">
        <v>54</v>
      </c>
    </row>
    <row r="6" customFormat="false" ht="15" hidden="false" customHeight="false" outlineLevel="0" collapsed="false">
      <c r="B6" s="30" t="s">
        <v>618</v>
      </c>
      <c r="C6" s="31" t="s">
        <v>54</v>
      </c>
    </row>
    <row r="7" customFormat="false" ht="15" hidden="false" customHeight="false" outlineLevel="0" collapsed="false">
      <c r="B7" s="30" t="s">
        <v>619</v>
      </c>
      <c r="C7" s="31" t="s">
        <v>54</v>
      </c>
    </row>
    <row r="8" customFormat="false" ht="15" hidden="false" customHeight="false" outlineLevel="0" collapsed="false">
      <c r="B8" s="30" t="s">
        <v>87</v>
      </c>
      <c r="C8" s="31" t="s">
        <v>620</v>
      </c>
    </row>
    <row r="9" customFormat="false" ht="15" hidden="false" customHeight="false" outlineLevel="0" collapsed="false">
      <c r="B9" s="30" t="s">
        <v>621</v>
      </c>
      <c r="C9" s="31" t="s">
        <v>622</v>
      </c>
    </row>
    <row r="10" customFormat="false" ht="15" hidden="false" customHeight="false" outlineLevel="0" collapsed="false">
      <c r="B10" s="30" t="s">
        <v>623</v>
      </c>
      <c r="C10" s="31" t="s">
        <v>88</v>
      </c>
    </row>
    <row r="11" customFormat="false" ht="15" hidden="false" customHeight="false" outlineLevel="0" collapsed="false">
      <c r="B11" s="30" t="s">
        <v>624</v>
      </c>
      <c r="C11" s="31" t="s">
        <v>625</v>
      </c>
    </row>
    <row r="12" customFormat="false" ht="15" hidden="false" customHeight="false" outlineLevel="0" collapsed="false">
      <c r="B12" s="30" t="s">
        <v>626</v>
      </c>
      <c r="C12" s="31" t="s">
        <v>103</v>
      </c>
    </row>
    <row r="13" customFormat="false" ht="15" hidden="false" customHeight="false" outlineLevel="0" collapsed="false">
      <c r="B13" s="30" t="s">
        <v>627</v>
      </c>
      <c r="C13" s="31" t="s">
        <v>118</v>
      </c>
    </row>
    <row r="14" customFormat="false" ht="15" hidden="false" customHeight="false" outlineLevel="0" collapsed="false">
      <c r="B14" s="30" t="s">
        <v>628</v>
      </c>
      <c r="C14" s="31" t="s">
        <v>493</v>
      </c>
    </row>
    <row r="15" customFormat="false" ht="15" hidden="false" customHeight="false" outlineLevel="0" collapsed="false">
      <c r="B15" s="30" t="s">
        <v>629</v>
      </c>
      <c r="C15" s="31" t="s">
        <v>134</v>
      </c>
    </row>
    <row r="16" customFormat="false" ht="15" hidden="false" customHeight="false" outlineLevel="0" collapsed="false">
      <c r="B16" s="30" t="s">
        <v>630</v>
      </c>
      <c r="C16" s="31" t="s">
        <v>631</v>
      </c>
    </row>
    <row r="17" customFormat="false" ht="15" hidden="false" customHeight="false" outlineLevel="0" collapsed="false">
      <c r="B17" s="30" t="s">
        <v>632</v>
      </c>
      <c r="C17" s="31" t="s">
        <v>148</v>
      </c>
    </row>
    <row r="18" customFormat="false" ht="15" hidden="false" customHeight="false" outlineLevel="0" collapsed="false">
      <c r="B18" s="30" t="s">
        <v>633</v>
      </c>
      <c r="C18" s="31" t="s">
        <v>148</v>
      </c>
    </row>
    <row r="19" customFormat="false" ht="15" hidden="false" customHeight="false" outlineLevel="0" collapsed="false">
      <c r="B19" s="30" t="s">
        <v>634</v>
      </c>
      <c r="C19" s="31" t="s">
        <v>148</v>
      </c>
    </row>
    <row r="20" customFormat="false" ht="15" hidden="false" customHeight="false" outlineLevel="0" collapsed="false">
      <c r="B20" s="30" t="s">
        <v>635</v>
      </c>
      <c r="C20" s="31" t="s">
        <v>162</v>
      </c>
    </row>
    <row r="21" customFormat="false" ht="15" hidden="false" customHeight="false" outlineLevel="0" collapsed="false">
      <c r="B21" s="30" t="s">
        <v>636</v>
      </c>
      <c r="C21" s="31" t="s">
        <v>637</v>
      </c>
    </row>
    <row r="22" customFormat="false" ht="15" hidden="false" customHeight="false" outlineLevel="0" collapsed="false">
      <c r="B22" s="30" t="s">
        <v>638</v>
      </c>
      <c r="C22" s="31" t="s">
        <v>639</v>
      </c>
    </row>
    <row r="23" customFormat="false" ht="15" hidden="false" customHeight="false" outlineLevel="0" collapsed="false">
      <c r="B23" s="30" t="s">
        <v>188</v>
      </c>
      <c r="C23" s="31" t="s">
        <v>175</v>
      </c>
    </row>
    <row r="24" customFormat="false" ht="15" hidden="false" customHeight="false" outlineLevel="0" collapsed="false">
      <c r="B24" s="30" t="s">
        <v>640</v>
      </c>
      <c r="C24" s="31" t="s">
        <v>189</v>
      </c>
    </row>
    <row r="25" customFormat="false" ht="15" hidden="false" customHeight="false" outlineLevel="0" collapsed="false">
      <c r="B25" s="30" t="s">
        <v>641</v>
      </c>
      <c r="C25" s="31" t="s">
        <v>202</v>
      </c>
    </row>
    <row r="26" customFormat="false" ht="15" hidden="false" customHeight="false" outlineLevel="0" collapsed="false">
      <c r="B26" s="30" t="s">
        <v>642</v>
      </c>
      <c r="C26" s="31" t="s">
        <v>216</v>
      </c>
    </row>
    <row r="27" customFormat="false" ht="15" hidden="false" customHeight="false" outlineLevel="0" collapsed="false">
      <c r="B27" s="30" t="s">
        <v>643</v>
      </c>
      <c r="C27" s="31" t="s">
        <v>530</v>
      </c>
    </row>
    <row r="28" customFormat="false" ht="15" hidden="false" customHeight="false" outlineLevel="0" collapsed="false">
      <c r="B28" s="30" t="s">
        <v>644</v>
      </c>
      <c r="C28" s="31" t="s">
        <v>229</v>
      </c>
    </row>
    <row r="29" customFormat="false" ht="15" hidden="false" customHeight="false" outlineLevel="0" collapsed="false">
      <c r="B29" s="30" t="s">
        <v>254</v>
      </c>
      <c r="C29" s="31" t="s">
        <v>242</v>
      </c>
    </row>
    <row r="30" customFormat="false" ht="15" hidden="false" customHeight="false" outlineLevel="0" collapsed="false">
      <c r="B30" s="30" t="s">
        <v>645</v>
      </c>
      <c r="C30" s="31" t="s">
        <v>255</v>
      </c>
    </row>
    <row r="31" customFormat="false" ht="15" hidden="false" customHeight="false" outlineLevel="0" collapsed="false">
      <c r="B31" s="30" t="s">
        <v>646</v>
      </c>
      <c r="C31" s="31" t="s">
        <v>255</v>
      </c>
    </row>
    <row r="32" customFormat="false" ht="15" hidden="false" customHeight="false" outlineLevel="0" collapsed="false">
      <c r="B32" s="30" t="s">
        <v>647</v>
      </c>
      <c r="C32" s="31" t="s">
        <v>267</v>
      </c>
    </row>
    <row r="33" customFormat="false" ht="15" hidden="false" customHeight="false" outlineLevel="0" collapsed="false">
      <c r="B33" s="30" t="s">
        <v>648</v>
      </c>
      <c r="C33" s="31" t="s">
        <v>279</v>
      </c>
    </row>
    <row r="34" customFormat="false" ht="15" hidden="false" customHeight="false" outlineLevel="0" collapsed="false">
      <c r="B34" s="30" t="s">
        <v>649</v>
      </c>
      <c r="C34" s="31" t="s">
        <v>292</v>
      </c>
    </row>
    <row r="35" customFormat="false" ht="15" hidden="false" customHeight="false" outlineLevel="0" collapsed="false">
      <c r="B35" s="30" t="s">
        <v>650</v>
      </c>
      <c r="C35" s="31" t="s">
        <v>292</v>
      </c>
    </row>
    <row r="36" customFormat="false" ht="15" hidden="false" customHeight="false" outlineLevel="0" collapsed="false">
      <c r="B36" s="30" t="s">
        <v>651</v>
      </c>
      <c r="C36" s="31" t="s">
        <v>305</v>
      </c>
    </row>
    <row r="37" customFormat="false" ht="15" hidden="false" customHeight="false" outlineLevel="0" collapsed="false">
      <c r="B37" s="30" t="s">
        <v>652</v>
      </c>
      <c r="C37" s="31" t="s">
        <v>305</v>
      </c>
    </row>
    <row r="38" customFormat="false" ht="15" hidden="false" customHeight="false" outlineLevel="0" collapsed="false">
      <c r="B38" s="30" t="s">
        <v>653</v>
      </c>
      <c r="C38" s="31" t="s">
        <v>317</v>
      </c>
    </row>
    <row r="39" customFormat="false" ht="15" hidden="false" customHeight="false" outlineLevel="0" collapsed="false">
      <c r="B39" s="30" t="s">
        <v>654</v>
      </c>
      <c r="C39" s="31" t="s">
        <v>329</v>
      </c>
    </row>
    <row r="40" customFormat="false" ht="15" hidden="false" customHeight="false" outlineLevel="0" collapsed="false">
      <c r="B40" s="30" t="s">
        <v>655</v>
      </c>
      <c r="C40" s="31" t="s">
        <v>329</v>
      </c>
    </row>
    <row r="41" customFormat="false" ht="15" hidden="false" customHeight="false" outlineLevel="0" collapsed="false">
      <c r="B41" s="30" t="s">
        <v>656</v>
      </c>
      <c r="C41" s="31" t="s">
        <v>342</v>
      </c>
    </row>
    <row r="42" customFormat="false" ht="15" hidden="false" customHeight="false" outlineLevel="0" collapsed="false">
      <c r="B42" s="30" t="s">
        <v>657</v>
      </c>
      <c r="C42" s="31" t="s">
        <v>342</v>
      </c>
    </row>
    <row r="43" customFormat="false" ht="15" hidden="false" customHeight="false" outlineLevel="0" collapsed="false">
      <c r="B43" s="30" t="s">
        <v>658</v>
      </c>
      <c r="C43" s="31" t="s">
        <v>342</v>
      </c>
    </row>
    <row r="44" customFormat="false" ht="15" hidden="false" customHeight="false" outlineLevel="0" collapsed="false">
      <c r="B44" s="30" t="s">
        <v>367</v>
      </c>
      <c r="C44" s="31" t="s">
        <v>356</v>
      </c>
    </row>
    <row r="45" customFormat="false" ht="15" hidden="false" customHeight="false" outlineLevel="0" collapsed="false">
      <c r="B45" s="30" t="s">
        <v>659</v>
      </c>
      <c r="C45" s="31" t="s">
        <v>368</v>
      </c>
    </row>
    <row r="46" customFormat="false" ht="15" hidden="false" customHeight="false" outlineLevel="0" collapsed="false">
      <c r="B46" s="30" t="s">
        <v>660</v>
      </c>
      <c r="C46" s="31" t="s">
        <v>368</v>
      </c>
    </row>
    <row r="47" customFormat="false" ht="15" hidden="false" customHeight="false" outlineLevel="0" collapsed="false">
      <c r="B47" s="30" t="s">
        <v>661</v>
      </c>
      <c r="C47" s="31" t="s">
        <v>380</v>
      </c>
    </row>
    <row r="48" customFormat="false" ht="15" hidden="false" customHeight="false" outlineLevel="0" collapsed="false">
      <c r="B48" s="30" t="s">
        <v>662</v>
      </c>
      <c r="C48" s="31" t="s">
        <v>380</v>
      </c>
    </row>
    <row r="49" customFormat="false" ht="15" hidden="false" customHeight="false" outlineLevel="0" collapsed="false">
      <c r="B49" s="30" t="s">
        <v>663</v>
      </c>
      <c r="C49" s="31" t="s">
        <v>380</v>
      </c>
    </row>
    <row r="50" customFormat="false" ht="15" hidden="false" customHeight="false" outlineLevel="0" collapsed="false">
      <c r="B50" s="30" t="s">
        <v>664</v>
      </c>
      <c r="C50" s="31" t="s">
        <v>392</v>
      </c>
    </row>
    <row r="51" customFormat="false" ht="15" hidden="false" customHeight="false" outlineLevel="0" collapsed="false">
      <c r="B51" s="30" t="s">
        <v>665</v>
      </c>
      <c r="C51" s="31" t="s">
        <v>406</v>
      </c>
    </row>
    <row r="52" customFormat="false" ht="15" hidden="false" customHeight="false" outlineLevel="0" collapsed="false">
      <c r="B52" s="30" t="s">
        <v>666</v>
      </c>
      <c r="C52" s="31" t="s">
        <v>417</v>
      </c>
    </row>
    <row r="53" customFormat="false" ht="15" hidden="false" customHeight="false" outlineLevel="0" collapsed="false">
      <c r="B53" s="30" t="s">
        <v>667</v>
      </c>
      <c r="C53" s="31" t="s">
        <v>417</v>
      </c>
    </row>
    <row r="54" customFormat="false" ht="15" hidden="false" customHeight="false" outlineLevel="0" collapsed="false">
      <c r="B54" s="30" t="s">
        <v>438</v>
      </c>
      <c r="C54" s="31" t="s">
        <v>428</v>
      </c>
    </row>
  </sheetData>
  <hyperlinks>
    <hyperlink ref="B5" r:id="rId1" display="https://www.timeout.es/barcelona/es/noticias/el-chef-com-mas-estrellas-michelin-de-espana-y-el-tercero-del-mundo-abre-un-restaurante-asequible-en-barcelona-042026"/>
    <hyperlink ref="B6" r:id="rId2" display="https://www.que.es/2026/07/26/martin-berasategui-cierra-estrella-michelin-tapas/"/>
    <hyperlink ref="B7" r:id="rId3" display="https://www.forbesargentina.com/lifestyle/menus-mas-cortos-precios-accesibles-formula-alta-cocina-busca-nuevos-clientes-n96944"/>
    <hyperlink ref="B8" r:id="rId4" display="https://theobjective.com/gastronomia/2026-01-09/nuevos-restaurantes-abriran-madrid-2026/"/>
    <hyperlink ref="B9" r:id="rId5" display="https://www.bolsamania.com/noticias/empresas/economia--el-66-de-los-espanoles-sale-a-bares-y-restaurantes-igual-o-mas-que-hace-un-ano-impulsado-por-los-jovenes--22469129.html"/>
    <hyperlink ref="B10" r:id="rId6" display="https://hospitality-on.com/fr/restauration/vers-une-rationalisation-des-menus-et-des-process-dans-la-restauration"/>
    <hyperlink ref="B11" r:id="rId7" display="https://www.elespanol.com/sociedad/20260509/espana-cambia-normas-bares-restaurantes-deberan-ofrecer-raciones-pequenas-entregar-sobras-gratis/1003744237215_0.html"/>
    <hyperlink ref="B12" r:id="rId8" display="https://www.hrc.co.uk/news/hg-announces-second-london-opening-victoria-uk-expansion-gathers-pace"/>
    <hyperlink ref="B13" r:id="rId9" display="https://londontheinside.com/where-have-all-the-vegans-gone/"/>
    <hyperlink ref="B14" r:id="rId10" display="https://www.axios.com/2026/01/07/restaurant-menu-high-protein-dunkin-subway-chipotle"/>
    <hyperlink ref="B15" r:id="rId11" display="https://tastymondays.substack.com/p/la-invasion-coreana-llega-a-barcelona"/>
    <hyperlink ref="B16" r:id="rId12" display="https://www.restaurantonline.co.uk/Article/2026/07/20/11-trends-shaping-and-set-to-shape-the-restaurant-sector-in-2026/"/>
    <hyperlink ref="B17" r:id="rId13" display="https://diario.madrid.es/blog/notas-de-prensa/casi-el-60-de-los-locales-de-ocio-de-madrid-reconoce-que-el-tardeo-ha-incrementado-sus-ingresos/"/>
    <hyperlink ref="B18" r:id="rId14" display="https://www.xataka.com/magnet/hace-anos-tardeo-era-perfecto-desconocido-hosteleria-espanola-hoy-mueve-26-negocio"/>
    <hyperlink ref="B19" r:id="rId15" display="https://www.xataka.com/magnet/contracultura-gen-z-no-huele-a-tabaco-a-copas-sino-a-cafe-cenas-tempranas"/>
    <hyperlink ref="B20" r:id="rId16" display="https://ine.es/dyngs/Prensa/IPC0226.htm"/>
    <hyperlink ref="B21" r:id="rId17" display="https://otea.es/wp-content/uploads/2025/12/ANUARIO-HOSTELERIA-2025.pdf"/>
    <hyperlink ref="B22" r:id="rId18" display="https://www.vinetur.com/amp/2026031297440/un-tercio-de-los-hosteleros-espanoles-planea-abrir-nuevos-locales-en-2026-pese-al-impacto-de-la-inflacion.html"/>
    <hyperlink ref="B23" r:id="rId19" display="https://axios.com/2026/07/17/solo-dining-reservations-jump-opentable"/>
    <hyperlink ref="B24" r:id="rId20" display="https://qsrmedia.com/research/in-focus/restaurants-shrink-menus-more-households-use-glp-1"/>
    <hyperlink ref="B25" r:id="rId21" display="https://www.adeccogroup.com/-/media/project/adecco-group/adeccogroup/spain-content/2026-press-releases/2026-03-09-ndp-v-guia-salarial-adecco-hosteleria-turismo-2026.pdf"/>
    <hyperlink ref="B26" r:id="rId22" display="https://www.diaridetarragona.com/contenidos-empresariales/266443/cal-blay-inverteix-3-milions-d-euros-nova-cuina-central-i-magatzem-logistic_amp.html"/>
    <hyperlink ref="B27" r:id="rId23" display="https://www.alimarket.es/restauracion/noticia/372854/365-obrador-se-estrena-en-manresa"/>
    <hyperlink ref="B28" r:id="rId24" display="https://www.agronewscastillayleon.com/caida-precio-aceite-oliva-aove-coag-mayo-2026"/>
    <hyperlink ref="B29" r:id="rId25" display="https://www.timeout.es/barcelona/es/noticias/agoniza-el-menu-de-mediodia-en-barcelona-032225"/>
    <hyperlink ref="B30" r:id="rId26" display="https://www.vinetur.com/2025081290379/las-reservas-fantasma-afectan-a-los-restaurantes-espanoles-pese-a-la-reduccion-de-no-shows-este-verano.html"/>
    <hyperlink ref="B31" r:id="rId27" display="https://www.covermanager.com/en/customers/aponiente-no-shows"/>
    <hyperlink ref="B32" r:id="rId28" display="https://beancount.io/blog/2026/09/08/surge-pricing-backlash-dynamic-pricing-restaurants-retailers-guide"/>
    <hyperlink ref="B33" r:id="rId29" display="https://www.alimarket.es/restauracion/noticia_amp/390115/el-sector-de-la-restauracion-se-apoya-en-la-inteligencia-artificial"/>
    <hyperlink ref="B34" r:id="rId30" display="https://ift.org/news-and-publications/digital-exclusives/ai-helps-restaurants-reduce-waste"/>
    <hyperlink ref="B35" r:id="rId31" display="https://orbisk.com/?p=25546816"/>
    <hyperlink ref="B36" r:id="rId32" display="https://qamarero.com/blog/verifactu-retraso-octubre-2028/"/>
    <hyperlink ref="B37" r:id="rId33" display="https://www.legaltoday.com/actualidad-juridica/noticias-de-derecho/nueva-prorroga-verifactu-no-sera-obligatorio-hasta-2027-para-sociedades-y-otros-contribuyentes-2025-12-04/"/>
    <hyperlink ref="B38" r:id="rId34" display="https://www.fieldfisher.com/es-es/locations/espana/actualidad/ley-de-prevencion-de-las-perdidas-y-el-desperdicio-alimentario"/>
    <hyperlink ref="B39" r:id="rId35" display="https://es.ara.cat/comer/michelin-deshace-definitivamente-estrellas-verdes-catalunya-perdera-15-partir-noviembre_1_5743021.html"/>
    <hyperlink ref="B40" r:id="rId36" display="https://portal-cec.consumo.gob.es/es/comunicacion/noticias/2022/nueva-norma-que-garantiza-agua-de-grifo-gratis-en-hosteleria-y-reduce-el"/>
    <hyperlink ref="B41" r:id="rId37" display="https://www.vinetur.com/2025111893430/el-consumo-de-bebidas-sin-o-bajas-en-alcohol-crece-un-66-en-tres-anos-en-espana.html"/>
    <hyperlink ref="B42" r:id="rId38" display="https://www.timeout.es/barcelona/es/noticias/un-restaurante-de-barcelona-con-dos-estrellas-michelin-ofrece-un-maridaje-sin-alcohol-061626"/>
    <hyperlink ref="B43" r:id="rId39" display="https://es.ara.cat/comer/chalar-alcohol-restaurantes-buena-oferta-bebidas-0-0_1_5477357.html"/>
    <hyperlink ref="B44" r:id="rId40" display="https://www.catalannews.com/life-style/item/barcelona-sips-paradiso-bars-best-worldwide-9-october-2025"/>
    <hyperlink ref="B45" r:id="rId41" display="https://www.vinetur.com/2025090190757/coravin-la-revolucion-silenciosa-del-vino-por-copa.html"/>
    <hyperlink ref="B46" r:id="rId42" display="https://www.vinetur.com/20260917107323/nace-la-guia-coravin-el-nuevo-mapa-digital-que-revoluciona-el-servicio-de-vino-por-copas.html"/>
    <hyperlink ref="B47" r:id="rId43" display="https://perfectdailygrind.com/es/2026/02/14/mercado-espanol-del-cafe-de-especialidad/"/>
    <hyperlink ref="B48" r:id="rId44" display="https://perfectdailygrind.com/es/2026/08/29/cual-es-problema-con-matcha/"/>
    <hyperlink ref="B49" r:id="rId45" display="https://www.mercasa.es/wp-content/uploads/2026/02/Cafe.pdf"/>
    <hyperlink ref="B50" r:id="rId46" display="https://brainsre.news/la-presencia-de-food-halls-en-europa-aumenta-un-50/"/>
    <hyperlink ref="B51" r:id="rId47" display="https://www.alimarket.es/alimentacion/noticia_amp/393363/turris-avanza-en-su-incursion-en-madrid-y-se-consolida-en-barcelona"/>
    <hyperlink ref="B52" r:id="rId48" display="https://www.alimarket.es/restauracion/noticia_amp/401764/el-delivery-en-restauracion-continua-su-desarrollo"/>
    <hyperlink ref="B53" r:id="rId49" display="https://www.elespanol.com/invertia/empresas/distribucion/20260717/oferta-uber-glovo-anticipa-guerra-delivery-europeo-controlar-mercado-meur/1003744323699_0.html"/>
    <hyperlink ref="B54" r:id="rId50" display="https://es.ara.cat/sociedad/barcelona/ultimo-barcelona-combatir-monocultivo-turistico-comercio-ciutat-vella_1_5410794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2026-10-08T15:27:12Z</dcterms:created>
  <dc:creator>openpyxl</dc:creator>
  <dc:description/>
  <dc:language>en-US</dc:language>
  <cp:lastModifiedBy/>
  <dcterms:modified xsi:type="dcterms:W3CDTF">2026-10-08T15:27:12Z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