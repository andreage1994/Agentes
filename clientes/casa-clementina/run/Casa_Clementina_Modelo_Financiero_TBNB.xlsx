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Supuestos" sheetId="2" state="visible" r:id="rId4"/>
    <sheet name="Plan de Inversión" sheetId="3" state="visible" r:id="rId5"/>
    <sheet name="Personal" sheetId="4" state="visible" r:id="rId6"/>
    <sheet name="Costes Fijos" sheetId="5" state="visible" r:id="rId7"/>
    <sheet name="Punto de Equilibrio" sheetId="6" state="visible" r:id="rId8"/>
    <sheet name="Cuenta Resultados Año 1" sheetId="7" state="visible" r:id="rId9"/>
    <sheet name="Preguntas Abiert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PENDIENTE DE CONFIRMAR con el cliente — valor de referencia de cafetería/bar, no dato real.</t>
        </r>
      </text>
    </comment>
    <comment ref="B11" authorId="0">
      <text>
        <r>
          <rPr>
            <sz val="10"/>
            <rFont val="Arial"/>
            <family val="2"/>
          </rPr>
          <t xml:space="preserve">Aproximación para el cálculo de coste de empresa — depende de la situación personal real de cada contrato; validar con gestoría antes de cerrar el informe.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PENDIENTE: Andrea dará la cifra cuando se le pida — no inventar un número.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Headcount de ejemplo — pendiente de confirmar con el plan real de turnos (8h/día, 7 días, ajustado a necesidad).</t>
        </r>
      </text>
    </comment>
    <comment ref="B5" authorId="0">
      <text>
        <r>
          <rPr>
            <sz val="10"/>
            <rFont val="Arial"/>
            <family val="2"/>
          </rPr>
          <t xml:space="preserve">Headcount de ejemplo — pendiente de confirmar con el plan real de turnos (8h/día, 7 días, ajustado a necesidad).</t>
        </r>
      </text>
    </comment>
    <comment ref="B6" authorId="0">
      <text>
        <r>
          <rPr>
            <sz val="10"/>
            <rFont val="Arial"/>
            <family val="2"/>
          </rPr>
          <t xml:space="preserve">Headcount de ejemplo — pendiente de confirmar con el plan real de turnos (8h/día, 7 días, ajustado a necesidad).</t>
        </r>
      </text>
    </comment>
    <comment ref="B7" authorId="0">
      <text>
        <r>
          <rPr>
            <sz val="10"/>
            <rFont val="Arial"/>
            <family val="2"/>
          </rPr>
          <t xml:space="preserve">Headcount de ejemplo — pendiente de confirmar con el plan real de turnos (8h/día, 7 días, ajustado a necesidad).</t>
        </r>
      </text>
    </comment>
    <comment ref="B8" authorId="0">
      <text>
        <r>
          <rPr>
            <sz val="10"/>
            <rFont val="Arial"/>
            <family val="2"/>
          </rPr>
          <t xml:space="preserve">Headcount de ejemplo — pendiente de confirmar con el plan real de turnos (8h/día, 7 días, ajustado a necesidad).</t>
        </r>
      </text>
    </comment>
    <comment ref="B9" authorId="0">
      <text>
        <r>
          <rPr>
            <sz val="10"/>
            <rFont val="Arial"/>
            <family val="2"/>
          </rPr>
          <t xml:space="preserve">Headcount de ejemplo — pendiente de confirmar con el plan real de turnos (8h/día, 7 días, ajustado a necesidad).</t>
        </r>
      </text>
    </comment>
    <comment ref="B10" authorId="0">
      <text>
        <r>
          <rPr>
            <sz val="10"/>
            <rFont val="Arial"/>
            <family val="2"/>
          </rPr>
          <t xml:space="preserve">Headcount de ejemplo — pendiente de confirmar con el plan real de turnos (8h/día, 7 días, ajustado a necesidad).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PENDIENTE: no hay dato real todavía — no inventar.</t>
        </r>
      </text>
    </comment>
    <comment ref="B8" authorId="0">
      <text>
        <r>
          <rPr>
            <sz val="10"/>
            <rFont val="Arial"/>
            <family val="2"/>
          </rPr>
          <t xml:space="preserve">PENDIENTE: no hay dato real todavía — no inventar.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C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D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E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F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G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H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I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J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K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L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  <comment ref="M6" authorId="0">
      <text>
        <r>
          <rPr>
            <sz val="10"/>
            <rFont val="Arial"/>
            <family val="2"/>
          </rPr>
          <t xml:space="preserve">Placeholder = visitas/día de equilibrio (escenario base). Sustituir por la cifra real de visitas/día esperadas en cuanto se confirme con el cliente.</t>
        </r>
      </text>
    </comment>
  </commentList>
</comments>
</file>

<file path=xl/sharedStrings.xml><?xml version="1.0" encoding="utf-8"?>
<sst xmlns="http://schemas.openxmlformats.org/spreadsheetml/2006/main" count="133" uniqueCount="128">
  <si>
    <t xml:space="preserve">CASA CLEMENTINA — MODELO FINANCIERO Y VIABILIDAD</t>
  </si>
  <si>
    <t xml:space="preserve">The Bar N' Bar — AR03 Proyección financiera y viabilidad de negocio</t>
  </si>
  <si>
    <t xml:space="preserve">Fecha de construcción del modelo: 2026-10-19, con datos confirmados por el cliente en reunión de esa misma fecha.</t>
  </si>
  <si>
    <t xml:space="preserve">Carácter orientativo: según el SOW firmado, esta proyección se basa en hipótesis razonables a partir de la información disponible — no es una garantía de resultados.</t>
  </si>
  <si>
    <t xml:space="preserve">Esta versión NO sustituye las plantillas maestras ya creadas en Google Drive (Casa_Clementina_Proyección_Financiera, Casa_Clementina_P&amp;L, Casa_Clementina_BUSINESS VIABILITY REPORT) — es el cálculo real, con fórmulas, construido en local porque el conector de edición de Google Sheets no está activo en esta sesión de trabajo. Traspasar estos números a las plantillas reales de Drive queda pendiente.</t>
  </si>
  <si>
    <t xml:space="preserve">Celdas en AZUL = dato de entrada (editable). Celdas en NEGRO = fórmula (no tocar a mano). Celdas en AMARILLO = hipótesis todavía sin confirmar con el cliente — pasar el ratón para ver la nota.</t>
  </si>
  <si>
    <t xml:space="preserve">Pestañas: Supuestos · Plan de Inversión · Personal (coste de empresa) · Costes Fijos · Punto de Equilibrio · Cuenta de Resultados Año 1 · Preguntas Abiertas</t>
  </si>
  <si>
    <t xml:space="preserve">BUSINESS ASSUMPTIONS — Supuestos del modelo</t>
  </si>
  <si>
    <t xml:space="preserve">Supuesto</t>
  </si>
  <si>
    <t xml:space="preserve">Valor</t>
  </si>
  <si>
    <t xml:space="preserve">Nota</t>
  </si>
  <si>
    <t xml:space="preserve">Aforo interior, pax (confirmado)</t>
  </si>
  <si>
    <t xml:space="preserve">Terraza excluida: sin licencia, se excluye de toda la proyección.</t>
  </si>
  <si>
    <t xml:space="preserve">Días abiertos / semana</t>
  </si>
  <si>
    <t xml:space="preserve">Confirmado por el cliente.</t>
  </si>
  <si>
    <t xml:space="preserve">Horario</t>
  </si>
  <si>
    <t xml:space="preserve">8:00–18:00</t>
  </si>
  <si>
    <t xml:space="preserve">Horario de cafetería, no de restaurante.</t>
  </si>
  <si>
    <t xml:space="preserve">Ticket medio — escenario bajo</t>
  </si>
  <si>
    <t xml:space="preserve">Horquilla confirmada 11–14€.</t>
  </si>
  <si>
    <t xml:space="preserve">Ticket medio — escenario base</t>
  </si>
  <si>
    <t xml:space="preserve">Punto medio de la horquilla.</t>
  </si>
  <si>
    <t xml:space="preserve">Ticket medio — escenario alto</t>
  </si>
  <si>
    <t xml:space="preserve">Estacionalidad jul-ago (caída sobre el resto del año)</t>
  </si>
  <si>
    <t xml:space="preserve">Confirmado: -60% en julio y agosto.</t>
  </si>
  <si>
    <t xml:space="preserve">COGS % sobre ventas (food cost corriente)</t>
  </si>
  <si>
    <t xml:space="preserve">PENDIENTE DE CONFIRMAR con el cliente — valor de referencia de cafetería/bar, no dato real.</t>
  </si>
  <si>
    <t xml:space="preserve">IRPF estimado (para pasar neto a bruto)</t>
  </si>
  <si>
    <t xml:space="preserve">Aproximación para el cálculo de coste de empresa — depende de la situación personal real de cada contrato; validar con gestoría antes de cerrar el informe.</t>
  </si>
  <si>
    <t xml:space="preserve">Seguridad Social a cargo de la empresa</t>
  </si>
  <si>
    <t xml:space="preserve">Dato dado por Andrea en la reunión.</t>
  </si>
  <si>
    <t xml:space="preserve">IVA hostelería (tipo reducido)</t>
  </si>
  <si>
    <t xml:space="preserve">Tipo legal vigente para servicios de hostelería en España.</t>
  </si>
  <si>
    <t xml:space="preserve">INVESTMENT PLAN — Plan de inversión</t>
  </si>
  <si>
    <t xml:space="preserve">Ya invertido (referencia — no es necesidad de capital nuevo)</t>
  </si>
  <si>
    <t xml:space="preserve">Importe total pagado a día de hoy (obra + fianza + alquileres + licencias + arquitectos + máquina de café, etc. — incluye el proyecto acústico de Absotec, confirmado por el cliente como ya incluido en la obra)</t>
  </si>
  <si>
    <t xml:space="preserve">Pendiente de lo ya valorado y presupuestado dentro de la obra</t>
  </si>
  <si>
    <t xml:space="preserve">Resto de la maquinaria de cocina/barra (saldo pendiente)</t>
  </si>
  <si>
    <t xml:space="preserve">Partidas nuevas para abrir (pago único, fuera del presupuesto de obra ya cerrado)</t>
  </si>
  <si>
    <t xml:space="preserve">Mobiliario (mesas, sillas, bancos)</t>
  </si>
  <si>
    <t xml:space="preserve">Pequeños electrodomésticos</t>
  </si>
  <si>
    <t xml:space="preserve">Food cost inicial (stock de apertura)</t>
  </si>
  <si>
    <t xml:space="preserve">Alquiler de octubre</t>
  </si>
  <si>
    <t xml:space="preserve">TPV (hardware) — Aproximado — confirmar contra presupuesto real de Square.</t>
  </si>
  <si>
    <t xml:space="preserve">Software (instalación/licencia inicial) — PENDIENTE: Andrea dará la cifra cuando se le pida — no inventar un número.</t>
  </si>
  <si>
    <t xml:space="preserve">TOTAL inversión pendiente para abrir (valorado + nuevas partidas)</t>
  </si>
  <si>
    <t xml:space="preserve">Nota: 2.600€ de los pendientes son un reembolso interno de la SL a Fuensanta (adelantó de su bolsillo), no una necesidad de capital externo nuevo — inclúyelo en el total de obligaciones de la SL, pero no lo confundas con inversión a buscar fuera.</t>
  </si>
  <si>
    <t xml:space="preserve">COST STRUCTURE — Personal: coste de empresa</t>
  </si>
  <si>
    <t xml:space="preserve">Fórmula: Bruto = Neto / (1 − IRPF estimado)  ·  Coste de empresa = Bruto × (1 + SS empresa). IRPF y SS vienen de la pestaña Supuestos.</t>
  </si>
  <si>
    <t xml:space="preserve">Puesto</t>
  </si>
  <si>
    <t xml:space="preserve">Nº personas (PENDIENTE turnos)</t>
  </si>
  <si>
    <t xml:space="preserve">Neto/mes</t>
  </si>
  <si>
    <t xml:space="preserve">Bruto/mes</t>
  </si>
  <si>
    <t xml:space="preserve">Coste empresa/mes (1 persona)</t>
  </si>
  <si>
    <t xml:space="preserve">Coste empresa/mes (total puesto)</t>
  </si>
  <si>
    <t xml:space="preserve">Coste empresa/año (total puesto)</t>
  </si>
  <si>
    <t xml:space="preserve">Manager</t>
  </si>
  <si>
    <t xml:space="preserve">Barista</t>
  </si>
  <si>
    <t xml:space="preserve">Camarero/a</t>
  </si>
  <si>
    <t xml:space="preserve">Ayudante de camarero/a</t>
  </si>
  <si>
    <t xml:space="preserve">Cocinero/a</t>
  </si>
  <si>
    <t xml:space="preserve">Ayudante de cocina</t>
  </si>
  <si>
    <t xml:space="preserve">Jefe/a de cocina</t>
  </si>
  <si>
    <t xml:space="preserve">TOTAL personal</t>
  </si>
  <si>
    <t xml:space="preserve">COST STRUCTURE — Costes fijos mensuales (sin personal)</t>
  </si>
  <si>
    <t xml:space="preserve">Concepto</t>
  </si>
  <si>
    <t xml:space="preserve">Importe/mes</t>
  </si>
  <si>
    <t xml:space="preserve">Alquiler (año 1-2)</t>
  </si>
  <si>
    <t xml:space="preserve">Alarma</t>
  </si>
  <si>
    <t xml:space="preserve">Reclasificado hoy: cuota mensual, no pago único.</t>
  </si>
  <si>
    <t xml:space="preserve">Wifi</t>
  </si>
  <si>
    <t xml:space="preserve">Software TPV</t>
  </si>
  <si>
    <t xml:space="preserve">Aproximado — confirmar contra presupuesto real de Square.</t>
  </si>
  <si>
    <t xml:space="preserve">Suministros (luz/agua/gas)</t>
  </si>
  <si>
    <t xml:space="preserve">PENDIENTE: no hay dato real todavía — no inventar.</t>
  </si>
  <si>
    <t xml:space="preserve">Seguro del local</t>
  </si>
  <si>
    <t xml:space="preserve">TOTAL costes fijos (sin personal)</t>
  </si>
  <si>
    <t xml:space="preserve">TOTAL costes fijos + personal</t>
  </si>
  <si>
    <t xml:space="preserve">Nota sobre renta escalonada: a partir del año 3 el alquiler sube (1.900€ → 2.000€ → 2.100€ → 2.100€+IPC) — esta pestaña usa el alquiler de los años 1-2; ajustar manualmente la celda B3 al construir la proyección de los años siguientes.</t>
  </si>
  <si>
    <t xml:space="preserve">VIABILITY ANALYSIS — Punto de equilibrio</t>
  </si>
  <si>
    <t xml:space="preserve">Costes fijos totales mensuales (incl. personal)</t>
  </si>
  <si>
    <t xml:space="preserve">COGS % sobre ventas</t>
  </si>
  <si>
    <t xml:space="preserve">Margen de contribución % (1 − COGS%)</t>
  </si>
  <si>
    <t xml:space="preserve">Ventas mensuales necesarias para cubrir costes (punto de equilibrio)</t>
  </si>
  <si>
    <t xml:space="preserve">Visitas/día necesarias para llegar al punto de equilibrio, según ticket medio (mes de 30,4 días)</t>
  </si>
  <si>
    <t xml:space="preserve">Escenario ticket medio</t>
  </si>
  <si>
    <t xml:space="preserve">Ticket medio</t>
  </si>
  <si>
    <t xml:space="preserve">Visitas/día necesarias</t>
  </si>
  <si>
    <t xml:space="preserve">Capacidad teórica/día (44 pax × turnos razonables)</t>
  </si>
  <si>
    <t xml:space="preserve">Bajo</t>
  </si>
  <si>
    <t xml:space="preserve">Base</t>
  </si>
  <si>
    <t xml:space="preserve">Alto</t>
  </si>
  <si>
    <t xml:space="preserve">Lectura: la capacidad teórica asume 3 turnos completos de aforo al día (44 pax × 3) como referencia de contexto, no como dato confirmado por el cliente — compárese con las visitas/día necesarias para ver si el punto de equilibrio es realista dentro del horario de 8:00-18:00h.</t>
  </si>
  <si>
    <t xml:space="preserve">FINANCIAL PROJECTIONS — Cuenta de Resultados, Año 1 (mensual)</t>
  </si>
  <si>
    <t xml:space="preserve">Visitas/día (fila 4) parte del propio punto de equilibrio como marcador neutro — SUSTITUIR por la cifra real de visitas/día esperadas en cuanto el cliente/Andrea la confirme. Mientras no se actualice, esta cuenta de resultados muestra 'cubre gastos, no gana ni pierde', no una proyección real.</t>
  </si>
  <si>
    <t xml:space="preserve">Noviembre</t>
  </si>
  <si>
    <t xml:space="preserve">Diciembre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</si>
  <si>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</si>
  <si>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</si>
  <si>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</si>
  <si>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</si>
  <si>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</si>
  <si>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</si>
  <si>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</si>
  <si>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</si>
  <si>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</si>
  <si>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</si>
  <si>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TOTAL AÑO</t>
  </si>
  <si>
    <t xml:space="preserve">Factor estacional (1 = normal, Supuestos!B9 en jul/ago)</t>
  </si>
  <si>
    <t xml:space="preserve">Ticket medio aplicado</t>
  </si>
  <si>
    <t xml:space="preserve">Visitas/día (PENDIENTE DE CONFIRMAR — ver nota arriba)</t>
  </si>
  <si>
    <t xml:space="preserve">Ingresos</t>
  </si>
  <si>
    <t xml:space="preserve">COGS (food cost corriente)</t>
  </si>
  <si>
    <t xml:space="preserve">Margen bruto</t>
  </si>
  <si>
    <t xml:space="preserve">Coste de personal (coste de empresa)</t>
  </si>
  <si>
    <t xml:space="preserve">Costes fijos (sin personal)</t>
  </si>
  <si>
    <t xml:space="preserve">EBITDA</t>
  </si>
  <si>
    <t xml:space="preserve">Margen EBITDA %</t>
  </si>
  <si>
    <t xml:space="preserve">PREGUNTAS ABIERTAS ANTES DE CERRAR EL INFORME</t>
  </si>
  <si>
    <t xml:space="preserve">1. Visitas/día o facturación objetivo esperada — sin este dato, la Cuenta de Resultados usa el propio punto de equilibrio como marcador neutro (ni gana ni pierde). Es el dato que más cambia el resultado real.</t>
  </si>
  <si>
    <t xml:space="preserve">2. Headcount real por puesto, según el plan de turnos (8h/día, 7 días, ajustado a necesidad) — la pestaña Personal usa un headcount de ejemplo (8 personas en total) marcado en amarillo.</t>
  </si>
  <si>
    <t xml:space="preserve">3. Coste real del software (instalación/licencia inicial) — Andrea lo dará cuando se le pida.</t>
  </si>
  <si>
    <t xml:space="preserve">4. Presupuesto real de Square (TPV + software mensual) — las cifras de hoy (300€ + 80€/mes) son aproximadas.</t>
  </si>
  <si>
    <t xml:space="preserve">5. COGS % real sobre ventas corrientes — se ha usado 30% como referencia de cafetería/bar, no un dato del cliente.</t>
  </si>
  <si>
    <t xml:space="preserve">6. Suministros (luz/agua/gas) y seguro del local — no hay dato real todavía, no se han incluido en costes fijos.</t>
  </si>
  <si>
    <t xml:space="preserve">7. IRPF real aplicable a cada contrato — se ha usado 15% como aproximación para calcular el coste de empresa; validar con gestoría antes de dar el informe por definitivo.</t>
  </si>
  <si>
    <t xml:space="preserve">8. ¿"Final de obra: 15.000€" de la lista de pendientes antigua es saldo de KIPER o partida aparte? (pregunta ya identificada, sigue sin respuesta explícita en los datos de hoy).</t>
  </si>
  <si>
    <t xml:space="preserve">9. Traspaso / Panadario y pacto de socios — siguen pendientes de la propia reunión con el cliente, según el gap analysis original.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</si>
</sst>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0.0%"/>
    <numFmt numFmtId="167" formatCode="General"/>
    <numFmt numFmtId="168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2"/>
      <name val="Arial"/>
      <family val="0"/>
      <charset val="1"/>
    </font>
    <font>
      <sz val="10.5"/>
      <color rgb="FF3E3D4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E3D4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.5"/>
      <color rgb="FFFFFFFF"/>
      <name val="Arial"/>
      <family val="0"/>
      <charset val="1"/>
    </font>
    <font>
      <b val="true"/>
      <sz val="10"/>
      <color rgb="FF3E3D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A5A5A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C0504D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E3D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5A5A5A"/>
        <bgColor rgb="FF3E3D40"/>
      </patternFill>
    </fill>
    <fill>
      <patternFill patternType="solid">
        <fgColor rgb="FFF2F2F2"/>
        <bgColor rgb="FFFBE8E6"/>
      </patternFill>
    </fill>
    <fill>
      <patternFill patternType="solid">
        <fgColor rgb="FFFBE8E6"/>
        <bgColor rgb="FFF2F2F2"/>
      </patternFill>
    </fill>
    <fill>
      <patternFill patternType="solid">
        <fgColor rgb="FFC0504D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E3D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9.75" hidden="false" customHeight="true" outlineLevel="0" collapsed="false">
      <c r="A4" s="3"/>
      <c r="B4" s="3"/>
      <c r="C4" s="3"/>
      <c r="D4" s="3"/>
      <c r="E4" s="3"/>
      <c r="F4" s="3"/>
    </row>
    <row r="5" customFormat="false" ht="39.75" hidden="false" customHeight="true" outlineLevel="0" collapsed="false">
      <c r="A5" s="3" t="s">
        <v>2</v>
      </c>
      <c r="B5" s="3"/>
      <c r="C5" s="3"/>
      <c r="D5" s="3"/>
      <c r="E5" s="3"/>
      <c r="F5" s="3"/>
    </row>
    <row r="6" customFormat="false" ht="9.75" hidden="false" customHeight="true" outlineLevel="0" collapsed="false">
      <c r="A6" s="3"/>
      <c r="B6" s="3"/>
      <c r="C6" s="3"/>
      <c r="D6" s="3"/>
      <c r="E6" s="3"/>
      <c r="F6" s="3"/>
    </row>
    <row r="7" customFormat="false" ht="39.75" hidden="false" customHeight="true" outlineLevel="0" collapsed="false">
      <c r="A7" s="3" t="s">
        <v>3</v>
      </c>
      <c r="B7" s="3"/>
      <c r="C7" s="3"/>
      <c r="D7" s="3"/>
      <c r="E7" s="3"/>
      <c r="F7" s="3"/>
    </row>
    <row r="8" customFormat="false" ht="9.75" hidden="false" customHeight="true" outlineLevel="0" collapsed="false">
      <c r="A8" s="3"/>
      <c r="B8" s="3"/>
      <c r="C8" s="3"/>
      <c r="D8" s="3"/>
      <c r="E8" s="3"/>
      <c r="F8" s="3"/>
    </row>
    <row r="9" customFormat="false" ht="69.75" hidden="false" customHeight="true" outlineLevel="0" collapsed="false">
      <c r="A9" s="3" t="s">
        <v>4</v>
      </c>
      <c r="B9" s="3"/>
      <c r="C9" s="3"/>
      <c r="D9" s="3"/>
      <c r="E9" s="3"/>
      <c r="F9" s="3"/>
    </row>
    <row r="10" customFormat="false" ht="9.75" hidden="false" customHeight="true" outlineLevel="0" collapsed="false">
      <c r="A10" s="3"/>
      <c r="B10" s="3"/>
      <c r="C10" s="3"/>
      <c r="D10" s="3"/>
      <c r="E10" s="3"/>
      <c r="F10" s="3"/>
    </row>
    <row r="11" customFormat="false" ht="39.75" hidden="false" customHeight="true" outlineLevel="0" collapsed="false">
      <c r="A11" s="3" t="s">
        <v>5</v>
      </c>
      <c r="B11" s="3"/>
      <c r="C11" s="3"/>
      <c r="D11" s="3"/>
      <c r="E11" s="3"/>
      <c r="F11" s="3"/>
    </row>
    <row r="12" customFormat="false" ht="9.75" hidden="false" customHeight="true" outlineLevel="0" collapsed="false">
      <c r="A12" s="3"/>
      <c r="B12" s="3"/>
      <c r="C12" s="3"/>
      <c r="D12" s="3"/>
      <c r="E12" s="3"/>
      <c r="F12" s="3"/>
    </row>
    <row r="13" customFormat="false" ht="39.75" hidden="false" customHeight="true" outlineLevel="0" collapsed="false">
      <c r="A13" s="3" t="s">
        <v>6</v>
      </c>
      <c r="B13" s="3"/>
      <c r="C13" s="3"/>
      <c r="D13" s="3"/>
      <c r="E13" s="3"/>
      <c r="F13" s="3"/>
    </row>
  </sheetData>
  <mergeCells count="12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24" hidden="false" customHeight="true" outlineLevel="0" collapsed="false">
      <c r="A1" s="4" t="s">
        <v>7</v>
      </c>
      <c r="B1" s="4"/>
      <c r="C1" s="4"/>
    </row>
    <row r="2" customFormat="false" ht="15" hidden="false" customHeight="false" outlineLevel="0" collapsed="false">
      <c r="A2" s="5" t="s">
        <v>8</v>
      </c>
      <c r="B2" s="5" t="s">
        <v>9</v>
      </c>
      <c r="C2" s="5" t="s">
        <v>10</v>
      </c>
    </row>
    <row r="3" customFormat="false" ht="33.75" hidden="false" customHeight="true" outlineLevel="0" collapsed="false">
      <c r="A3" s="6" t="s">
        <v>11</v>
      </c>
      <c r="B3" s="7" t="n">
        <v>44</v>
      </c>
      <c r="C3" s="6" t="s">
        <v>12</v>
      </c>
    </row>
    <row r="4" customFormat="false" ht="33.75" hidden="false" customHeight="true" outlineLevel="0" collapsed="false">
      <c r="A4" s="6" t="s">
        <v>13</v>
      </c>
      <c r="B4" s="7" t="n">
        <v>7</v>
      </c>
      <c r="C4" s="6" t="s">
        <v>14</v>
      </c>
    </row>
    <row r="5" customFormat="false" ht="33.75" hidden="false" customHeight="true" outlineLevel="0" collapsed="false">
      <c r="A5" s="6" t="s">
        <v>15</v>
      </c>
      <c r="B5" s="7" t="s">
        <v>16</v>
      </c>
      <c r="C5" s="6" t="s">
        <v>17</v>
      </c>
    </row>
    <row r="6" customFormat="false" ht="33.75" hidden="false" customHeight="true" outlineLevel="0" collapsed="false">
      <c r="A6" s="6" t="s">
        <v>18</v>
      </c>
      <c r="B6" s="8" t="n">
        <v>11</v>
      </c>
      <c r="C6" s="6" t="s">
        <v>19</v>
      </c>
    </row>
    <row r="7" customFormat="false" ht="33.75" hidden="false" customHeight="true" outlineLevel="0" collapsed="false">
      <c r="A7" s="6" t="s">
        <v>20</v>
      </c>
      <c r="B7" s="8" t="n">
        <v>12.5</v>
      </c>
      <c r="C7" s="6" t="s">
        <v>21</v>
      </c>
    </row>
    <row r="8" customFormat="false" ht="33.75" hidden="false" customHeight="true" outlineLevel="0" collapsed="false">
      <c r="A8" s="6" t="s">
        <v>22</v>
      </c>
      <c r="B8" s="8" t="n">
        <v>14</v>
      </c>
      <c r="C8" s="6" t="s">
        <v>19</v>
      </c>
    </row>
    <row r="9" customFormat="false" ht="33.75" hidden="false" customHeight="true" outlineLevel="0" collapsed="false">
      <c r="A9" s="6" t="s">
        <v>23</v>
      </c>
      <c r="B9" s="9" t="n">
        <v>-0.6</v>
      </c>
      <c r="C9" s="6" t="s">
        <v>24</v>
      </c>
    </row>
    <row r="10" customFormat="false" ht="33.75" hidden="false" customHeight="true" outlineLevel="0" collapsed="false">
      <c r="A10" s="6" t="s">
        <v>25</v>
      </c>
      <c r="B10" s="10" t="n">
        <v>0.3</v>
      </c>
      <c r="C10" s="6" t="s">
        <v>26</v>
      </c>
    </row>
    <row r="11" customFormat="false" ht="33.75" hidden="false" customHeight="true" outlineLevel="0" collapsed="false">
      <c r="A11" s="6" t="s">
        <v>27</v>
      </c>
      <c r="B11" s="10" t="n">
        <v>0.15</v>
      </c>
      <c r="C11" s="6" t="s">
        <v>28</v>
      </c>
    </row>
    <row r="12" customFormat="false" ht="33.75" hidden="false" customHeight="true" outlineLevel="0" collapsed="false">
      <c r="A12" s="6" t="s">
        <v>29</v>
      </c>
      <c r="B12" s="9" t="n">
        <v>0.33</v>
      </c>
      <c r="C12" s="6" t="s">
        <v>30</v>
      </c>
    </row>
    <row r="13" customFormat="false" ht="33.75" hidden="false" customHeight="true" outlineLevel="0" collapsed="false">
      <c r="A13" s="6" t="s">
        <v>31</v>
      </c>
      <c r="B13" s="9" t="n">
        <v>0.1</v>
      </c>
      <c r="C13" s="6" t="s">
        <v>32</v>
      </c>
    </row>
  </sheetData>
  <mergeCells count="1">
    <mergeCell ref="A1:C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24" hidden="false" customHeight="true" outlineLevel="0" collapsed="false">
      <c r="A1" s="4" t="s">
        <v>33</v>
      </c>
      <c r="B1" s="4"/>
      <c r="C1" s="4"/>
    </row>
    <row r="3" customFormat="false" ht="15" hidden="false" customHeight="true" outlineLevel="0" collapsed="false">
      <c r="A3" s="11" t="s">
        <v>34</v>
      </c>
      <c r="B3" s="11"/>
      <c r="C3" s="11"/>
    </row>
    <row r="4" customFormat="false" ht="45.75" hidden="false" customHeight="true" outlineLevel="0" collapsed="false">
      <c r="A4" s="6" t="s">
        <v>35</v>
      </c>
      <c r="B4" s="8" t="n">
        <v>240000</v>
      </c>
    </row>
    <row r="6" customFormat="false" ht="15" hidden="false" customHeight="true" outlineLevel="0" collapsed="false">
      <c r="A6" s="11" t="s">
        <v>36</v>
      </c>
      <c r="B6" s="11"/>
      <c r="C6" s="11"/>
    </row>
    <row r="7" customFormat="false" ht="15" hidden="false" customHeight="false" outlineLevel="0" collapsed="false">
      <c r="A7" s="6" t="s">
        <v>37</v>
      </c>
      <c r="B7" s="8" t="n">
        <v>8000</v>
      </c>
    </row>
    <row r="9" customFormat="false" ht="15" hidden="false" customHeight="true" outlineLevel="0" collapsed="false">
      <c r="A9" s="11" t="s">
        <v>38</v>
      </c>
      <c r="B9" s="11"/>
      <c r="C9" s="11"/>
    </row>
    <row r="10" customFormat="false" ht="30" hidden="false" customHeight="true" outlineLevel="0" collapsed="false">
      <c r="A10" s="6" t="s">
        <v>39</v>
      </c>
      <c r="B10" s="8" t="n">
        <v>15000</v>
      </c>
    </row>
    <row r="11" customFormat="false" ht="30" hidden="false" customHeight="true" outlineLevel="0" collapsed="false">
      <c r="A11" s="6" t="s">
        <v>40</v>
      </c>
      <c r="B11" s="8" t="n">
        <v>3500</v>
      </c>
    </row>
    <row r="12" customFormat="false" ht="30" hidden="false" customHeight="true" outlineLevel="0" collapsed="false">
      <c r="A12" s="6" t="s">
        <v>41</v>
      </c>
      <c r="B12" s="8" t="n">
        <v>5000</v>
      </c>
    </row>
    <row r="13" customFormat="false" ht="30" hidden="false" customHeight="true" outlineLevel="0" collapsed="false">
      <c r="A13" s="6" t="s">
        <v>42</v>
      </c>
      <c r="B13" s="8" t="n">
        <v>1800</v>
      </c>
    </row>
    <row r="14" customFormat="false" ht="30" hidden="false" customHeight="true" outlineLevel="0" collapsed="false">
      <c r="A14" s="6" t="s">
        <v>43</v>
      </c>
      <c r="B14" s="8" t="n">
        <v>300</v>
      </c>
    </row>
    <row r="15" customFormat="false" ht="30" hidden="false" customHeight="true" outlineLevel="0" collapsed="false">
      <c r="A15" s="6" t="s">
        <v>44</v>
      </c>
      <c r="B15" s="12" t="n">
        <v>0</v>
      </c>
    </row>
    <row r="17" customFormat="false" ht="15" hidden="false" customHeight="false" outlineLevel="0" collapsed="false">
      <c r="A17" s="13" t="s">
        <v>45</v>
      </c>
      <c r="B17" s="14" t="n">
        <f aca="false">SUM(B7:B7)+SUM(B10:B15)</f>
        <v>33600</v>
      </c>
    </row>
    <row r="19" customFormat="false" ht="39.75" hidden="false" customHeight="true" outlineLevel="0" collapsed="false">
      <c r="A19" s="15" t="s">
        <v>46</v>
      </c>
      <c r="B19" s="15"/>
      <c r="C19" s="15"/>
    </row>
  </sheetData>
  <mergeCells count="5">
    <mergeCell ref="A1:C1"/>
    <mergeCell ref="A3:C3"/>
    <mergeCell ref="A6:C6"/>
    <mergeCell ref="A9:C9"/>
    <mergeCell ref="A19:C1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7" min="3" style="0" width="18"/>
  </cols>
  <sheetData>
    <row r="1" customFormat="false" ht="24" hidden="false" customHeight="true" outlineLevel="0" collapsed="false">
      <c r="A1" s="4" t="s">
        <v>47</v>
      </c>
      <c r="B1" s="4"/>
      <c r="C1" s="4"/>
      <c r="D1" s="4"/>
      <c r="E1" s="4"/>
      <c r="F1" s="4"/>
      <c r="G1" s="4"/>
    </row>
    <row r="2" customFormat="false" ht="25.5" hidden="false" customHeight="true" outlineLevel="0" collapsed="false">
      <c r="A2" s="16" t="s">
        <v>48</v>
      </c>
      <c r="B2" s="16"/>
      <c r="C2" s="16"/>
      <c r="D2" s="16"/>
      <c r="E2" s="16"/>
      <c r="F2" s="16"/>
      <c r="G2" s="16"/>
    </row>
    <row r="3" customFormat="false" ht="36" hidden="false" customHeight="true" outlineLevel="0" collapsed="false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</row>
    <row r="4" customFormat="false" ht="15" hidden="false" customHeight="false" outlineLevel="0" collapsed="false">
      <c r="A4" s="6" t="s">
        <v>56</v>
      </c>
      <c r="B4" s="17" t="n">
        <v>1</v>
      </c>
      <c r="C4" s="8" t="n">
        <v>1800</v>
      </c>
      <c r="D4" s="18" t="n">
        <f aca="false">C4/(1-Supuestos!$B$11)</f>
        <v>2117.64705882353</v>
      </c>
      <c r="E4" s="18" t="n">
        <f aca="false">D4*(1+Supuestos!$B$12)</f>
        <v>2816.47058823529</v>
      </c>
      <c r="F4" s="18" t="n">
        <f aca="false">E4*B4</f>
        <v>2816.47058823529</v>
      </c>
      <c r="G4" s="18" t="n">
        <f aca="false">F4*12</f>
        <v>33797.6470588235</v>
      </c>
    </row>
    <row r="5" customFormat="false" ht="15" hidden="false" customHeight="false" outlineLevel="0" collapsed="false">
      <c r="A5" s="6" t="s">
        <v>57</v>
      </c>
      <c r="B5" s="17" t="n">
        <v>1</v>
      </c>
      <c r="C5" s="8" t="n">
        <v>1500</v>
      </c>
      <c r="D5" s="18" t="n">
        <f aca="false">C5/(1-Supuestos!$B$11)</f>
        <v>1764.70588235294</v>
      </c>
      <c r="E5" s="18" t="n">
        <f aca="false">D5*(1+Supuestos!$B$12)</f>
        <v>2347.05882352941</v>
      </c>
      <c r="F5" s="18" t="n">
        <f aca="false">E5*B5</f>
        <v>2347.05882352941</v>
      </c>
      <c r="G5" s="18" t="n">
        <f aca="false">F5*12</f>
        <v>28164.7058823529</v>
      </c>
    </row>
    <row r="6" customFormat="false" ht="15" hidden="false" customHeight="false" outlineLevel="0" collapsed="false">
      <c r="A6" s="6" t="s">
        <v>58</v>
      </c>
      <c r="B6" s="17" t="n">
        <v>2</v>
      </c>
      <c r="C6" s="8" t="n">
        <v>1400</v>
      </c>
      <c r="D6" s="18" t="n">
        <f aca="false">C6/(1-Supuestos!$B$11)</f>
        <v>1647.05882352941</v>
      </c>
      <c r="E6" s="18" t="n">
        <f aca="false">D6*(1+Supuestos!$B$12)</f>
        <v>2190.58823529412</v>
      </c>
      <c r="F6" s="18" t="n">
        <f aca="false">E6*B6</f>
        <v>4381.17647058824</v>
      </c>
      <c r="G6" s="18" t="n">
        <f aca="false">F6*12</f>
        <v>52574.1176470588</v>
      </c>
    </row>
    <row r="7" customFormat="false" ht="15" hidden="false" customHeight="false" outlineLevel="0" collapsed="false">
      <c r="A7" s="6" t="s">
        <v>59</v>
      </c>
      <c r="B7" s="17" t="n">
        <v>1</v>
      </c>
      <c r="C7" s="8" t="n">
        <v>1400</v>
      </c>
      <c r="D7" s="18" t="n">
        <f aca="false">C7/(1-Supuestos!$B$11)</f>
        <v>1647.05882352941</v>
      </c>
      <c r="E7" s="18" t="n">
        <f aca="false">D7*(1+Supuestos!$B$12)</f>
        <v>2190.58823529412</v>
      </c>
      <c r="F7" s="18" t="n">
        <f aca="false">E7*B7</f>
        <v>2190.58823529412</v>
      </c>
      <c r="G7" s="18" t="n">
        <f aca="false">F7*12</f>
        <v>26287.0588235294</v>
      </c>
    </row>
    <row r="8" customFormat="false" ht="15" hidden="false" customHeight="false" outlineLevel="0" collapsed="false">
      <c r="A8" s="6" t="s">
        <v>60</v>
      </c>
      <c r="B8" s="17" t="n">
        <v>1</v>
      </c>
      <c r="C8" s="8" t="n">
        <v>1400</v>
      </c>
      <c r="D8" s="18" t="n">
        <f aca="false">C8/(1-Supuestos!$B$11)</f>
        <v>1647.05882352941</v>
      </c>
      <c r="E8" s="18" t="n">
        <f aca="false">D8*(1+Supuestos!$B$12)</f>
        <v>2190.58823529412</v>
      </c>
      <c r="F8" s="18" t="n">
        <f aca="false">E8*B8</f>
        <v>2190.58823529412</v>
      </c>
      <c r="G8" s="18" t="n">
        <f aca="false">F8*12</f>
        <v>26287.0588235294</v>
      </c>
    </row>
    <row r="9" customFormat="false" ht="15" hidden="false" customHeight="false" outlineLevel="0" collapsed="false">
      <c r="A9" s="6" t="s">
        <v>61</v>
      </c>
      <c r="B9" s="17" t="n">
        <v>1</v>
      </c>
      <c r="C9" s="8" t="n">
        <v>1400</v>
      </c>
      <c r="D9" s="18" t="n">
        <f aca="false">C9/(1-Supuestos!$B$11)</f>
        <v>1647.05882352941</v>
      </c>
      <c r="E9" s="18" t="n">
        <f aca="false">D9*(1+Supuestos!$B$12)</f>
        <v>2190.58823529412</v>
      </c>
      <c r="F9" s="18" t="n">
        <f aca="false">E9*B9</f>
        <v>2190.58823529412</v>
      </c>
      <c r="G9" s="18" t="n">
        <f aca="false">F9*12</f>
        <v>26287.0588235294</v>
      </c>
    </row>
    <row r="10" customFormat="false" ht="15" hidden="false" customHeight="false" outlineLevel="0" collapsed="false">
      <c r="A10" s="6" t="s">
        <v>62</v>
      </c>
      <c r="B10" s="17" t="n">
        <v>1</v>
      </c>
      <c r="C10" s="8" t="n">
        <v>1600</v>
      </c>
      <c r="D10" s="18" t="n">
        <f aca="false">C10/(1-Supuestos!$B$11)</f>
        <v>1882.35294117647</v>
      </c>
      <c r="E10" s="18" t="n">
        <f aca="false">D10*(1+Supuestos!$B$12)</f>
        <v>2503.52941176471</v>
      </c>
      <c r="F10" s="18" t="n">
        <f aca="false">E10*B10</f>
        <v>2503.52941176471</v>
      </c>
      <c r="G10" s="18" t="n">
        <f aca="false">F10*12</f>
        <v>30042.3529411765</v>
      </c>
    </row>
    <row r="11" customFormat="false" ht="15" hidden="false" customHeight="false" outlineLevel="0" collapsed="false">
      <c r="A11" s="13" t="s">
        <v>63</v>
      </c>
      <c r="B11" s="19" t="n">
        <f aca="false">SUM(B4:B10)</f>
        <v>8</v>
      </c>
      <c r="F11" s="14" t="n">
        <f aca="false">SUM(F4:F10)</f>
        <v>18620</v>
      </c>
      <c r="G11" s="14" t="n">
        <f aca="false">SUM(G4:G10)</f>
        <v>223440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55"/>
  </cols>
  <sheetData>
    <row r="1" customFormat="false" ht="24" hidden="false" customHeight="true" outlineLevel="0" collapsed="false">
      <c r="A1" s="4" t="s">
        <v>64</v>
      </c>
      <c r="B1" s="4"/>
      <c r="C1" s="4"/>
    </row>
    <row r="2" customFormat="false" ht="15" hidden="false" customHeight="false" outlineLevel="0" collapsed="false">
      <c r="A2" s="5" t="s">
        <v>65</v>
      </c>
      <c r="B2" s="5" t="s">
        <v>66</v>
      </c>
      <c r="C2" s="5" t="s">
        <v>10</v>
      </c>
    </row>
    <row r="3" customFormat="false" ht="27.75" hidden="false" customHeight="true" outlineLevel="0" collapsed="false">
      <c r="A3" s="6" t="s">
        <v>67</v>
      </c>
      <c r="B3" s="8" t="n">
        <v>1800</v>
      </c>
      <c r="C3" s="6"/>
    </row>
    <row r="4" customFormat="false" ht="27.75" hidden="false" customHeight="true" outlineLevel="0" collapsed="false">
      <c r="A4" s="6" t="s">
        <v>68</v>
      </c>
      <c r="B4" s="8" t="n">
        <v>50</v>
      </c>
      <c r="C4" s="6" t="s">
        <v>69</v>
      </c>
    </row>
    <row r="5" customFormat="false" ht="27.75" hidden="false" customHeight="true" outlineLevel="0" collapsed="false">
      <c r="A5" s="6" t="s">
        <v>70</v>
      </c>
      <c r="B5" s="8" t="n">
        <v>50</v>
      </c>
      <c r="C5" s="6" t="s">
        <v>69</v>
      </c>
    </row>
    <row r="6" customFormat="false" ht="27.75" hidden="false" customHeight="true" outlineLevel="0" collapsed="false">
      <c r="A6" s="6" t="s">
        <v>71</v>
      </c>
      <c r="B6" s="8" t="n">
        <v>80</v>
      </c>
      <c r="C6" s="6" t="s">
        <v>72</v>
      </c>
    </row>
    <row r="7" customFormat="false" ht="27.75" hidden="false" customHeight="true" outlineLevel="0" collapsed="false">
      <c r="A7" s="6" t="s">
        <v>73</v>
      </c>
      <c r="B7" s="12" t="n">
        <v>0</v>
      </c>
      <c r="C7" s="6" t="s">
        <v>74</v>
      </c>
    </row>
    <row r="8" customFormat="false" ht="27.75" hidden="false" customHeight="true" outlineLevel="0" collapsed="false">
      <c r="A8" s="6" t="s">
        <v>75</v>
      </c>
      <c r="B8" s="12" t="n">
        <v>0</v>
      </c>
      <c r="C8" s="6" t="s">
        <v>74</v>
      </c>
    </row>
    <row r="9" customFormat="false" ht="15" hidden="false" customHeight="false" outlineLevel="0" collapsed="false">
      <c r="A9" s="13" t="s">
        <v>76</v>
      </c>
      <c r="B9" s="14" t="n">
        <f aca="false">SUM(B3:B8)</f>
        <v>1980</v>
      </c>
    </row>
    <row r="11" customFormat="false" ht="15" hidden="false" customHeight="false" outlineLevel="0" collapsed="false">
      <c r="A11" s="20" t="s">
        <v>77</v>
      </c>
      <c r="B11" s="21" t="n">
        <f aca="false">B9+Personal!F11</f>
        <v>20600</v>
      </c>
    </row>
    <row r="13" customFormat="false" ht="39.75" hidden="false" customHeight="true" outlineLevel="0" collapsed="false">
      <c r="A13" s="15" t="s">
        <v>78</v>
      </c>
      <c r="B13" s="15"/>
      <c r="C13" s="15"/>
    </row>
  </sheetData>
  <mergeCells count="2">
    <mergeCell ref="A1:C1"/>
    <mergeCell ref="A13:C1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4"/>
  </cols>
  <sheetData>
    <row r="1" customFormat="false" ht="24" hidden="false" customHeight="true" outlineLevel="0" collapsed="false">
      <c r="A1" s="4" t="s">
        <v>79</v>
      </c>
      <c r="B1" s="4"/>
    </row>
    <row r="3" customFormat="false" ht="23.85" hidden="false" customHeight="false" outlineLevel="0" collapsed="false">
      <c r="A3" s="6" t="s">
        <v>80</v>
      </c>
      <c r="B3" s="18" t="n">
        <f aca="false">'Costes Fijos'!B11</f>
        <v>20600</v>
      </c>
    </row>
    <row r="4" customFormat="false" ht="15" hidden="false" customHeight="false" outlineLevel="0" collapsed="false">
      <c r="A4" s="6" t="s">
        <v>81</v>
      </c>
      <c r="B4" s="22" t="n">
        <f aca="false">Supuestos!B10</f>
        <v>0.3</v>
      </c>
    </row>
    <row r="5" customFormat="false" ht="23.85" hidden="false" customHeight="false" outlineLevel="0" collapsed="false">
      <c r="A5" s="6" t="s">
        <v>82</v>
      </c>
      <c r="B5" s="22" t="n">
        <f aca="false">1-B4</f>
        <v>0.7</v>
      </c>
    </row>
    <row r="6" customFormat="false" ht="35.05" hidden="false" customHeight="false" outlineLevel="0" collapsed="false">
      <c r="A6" s="13" t="s">
        <v>83</v>
      </c>
      <c r="B6" s="14" t="n">
        <f aca="false">B3/B5</f>
        <v>29428.5714285714</v>
      </c>
    </row>
    <row r="8" customFormat="false" ht="15" hidden="false" customHeight="true" outlineLevel="0" collapsed="false">
      <c r="A8" s="11" t="s">
        <v>84</v>
      </c>
      <c r="B8" s="11"/>
      <c r="C8" s="11"/>
      <c r="D8" s="11"/>
    </row>
    <row r="9" customFormat="false" ht="45.75" hidden="false" customHeight="true" outlineLevel="0" collapsed="false">
      <c r="A9" s="5" t="s">
        <v>85</v>
      </c>
      <c r="B9" s="5" t="s">
        <v>86</v>
      </c>
      <c r="C9" s="5" t="s">
        <v>87</v>
      </c>
      <c r="D9" s="5" t="s">
        <v>88</v>
      </c>
    </row>
    <row r="10" customFormat="false" ht="15" hidden="false" customHeight="false" outlineLevel="0" collapsed="false">
      <c r="A10" s="6" t="s">
        <v>89</v>
      </c>
      <c r="B10" s="18" t="n">
        <f aca="false">Supuestos!B6</f>
        <v>11</v>
      </c>
      <c r="C10" s="23" t="n">
        <f aca="false">(B6/30.4)/B10</f>
        <v>88.0041011619959</v>
      </c>
      <c r="D10" s="23" t="n">
        <f aca="false">Supuestos!$B$3*3</f>
        <v>132</v>
      </c>
    </row>
    <row r="11" customFormat="false" ht="15" hidden="false" customHeight="false" outlineLevel="0" collapsed="false">
      <c r="A11" s="6" t="s">
        <v>90</v>
      </c>
      <c r="B11" s="18" t="n">
        <f aca="false">Supuestos!B7</f>
        <v>12.5</v>
      </c>
      <c r="C11" s="23" t="n">
        <f aca="false">(B6/30.4)/B11</f>
        <v>77.4436090225564</v>
      </c>
      <c r="D11" s="23" t="n">
        <f aca="false">Supuestos!$B$3*3</f>
        <v>132</v>
      </c>
    </row>
    <row r="12" customFormat="false" ht="15" hidden="false" customHeight="false" outlineLevel="0" collapsed="false">
      <c r="A12" s="6" t="s">
        <v>91</v>
      </c>
      <c r="B12" s="18" t="n">
        <f aca="false">Supuestos!B8</f>
        <v>14</v>
      </c>
      <c r="C12" s="23" t="n">
        <f aca="false">(B6/30.4)/B12</f>
        <v>69.1460794844254</v>
      </c>
      <c r="D12" s="23" t="n">
        <f aca="false">Supuestos!$B$3*3</f>
        <v>132</v>
      </c>
    </row>
    <row r="14" customFormat="false" ht="43.5" hidden="false" customHeight="true" outlineLevel="0" collapsed="false">
      <c r="A14" s="15" t="s">
        <v>92</v>
      </c>
      <c r="B14" s="15"/>
      <c r="C14" s="15"/>
      <c r="D14" s="15"/>
    </row>
  </sheetData>
  <mergeCells count="3">
    <mergeCell ref="A1:B1"/>
    <mergeCell ref="A8:D8"/>
    <mergeCell ref="A14:D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4" min="2" style="0" width="13"/>
  </cols>
  <sheetData>
    <row r="1" customFormat="false" ht="24" hidden="false" customHeight="true" outlineLevel="0" collapsed="false">
      <c r="A1" s="4" t="s">
        <v>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30" hidden="false" customHeight="true" outlineLevel="0" collapsed="false">
      <c r="A2" s="24" t="s">
        <v>94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customFormat="false" ht="21.75" hidden="false" customHeight="true" outlineLevel="0" collapsed="false">
      <c r="A3" s="25" t="s">
        <v>65</v>
      </c>
      <c r="B3" s="5" t="s">
        <v>95</v>
      </c>
      <c r="C3" s="5" t="s">
        <v>96</v>
      </c>
      <c r="D3" s="5" t="s">
        <v>97</v>
      </c>
      <c r="E3" s="5" t="s">
        <v>98</v>
      </c>
      <c r="F3" s="5" t="s">
        <v>99</v>
      </c>
      <c r="G3" s="5" t="s">
        <v>100</v>
      </c>
      <c r="H3" s="5" t="s">
        <v>101</v>
      </c>
      <c r="I3" s="5" t="s">
        <v>102</v>
      </c>
      <c r="J3" s="5" t="s">
        <v>103</v>
      </c>
      <c r="K3" s="5" t="s">
        <v>104</v>
      </c>
      <c r="L3" s="5" t="s">
        <v>105</v>
      </c>
      <c r="M3" s="5" t="s">
        <v>106</v>
      </c>
      <c r="N3" s="5" t="s">
        <v>107</v>
      </c>
    </row>
    <row r="4" customFormat="false" ht="23.85" hidden="false" customHeight="false" outlineLevel="0" collapsed="false">
      <c r="A4" s="6" t="s">
        <v>108</v>
      </c>
      <c r="B4" s="22" t="n">
        <v>1</v>
      </c>
      <c r="C4" s="22" t="n">
        <v>1</v>
      </c>
      <c r="D4" s="22" t="n">
        <v>1</v>
      </c>
      <c r="E4" s="22" t="n">
        <v>1</v>
      </c>
      <c r="F4" s="22" t="n">
        <v>1</v>
      </c>
      <c r="G4" s="22" t="n">
        <v>1</v>
      </c>
      <c r="H4" s="22" t="n">
        <v>1</v>
      </c>
      <c r="I4" s="22" t="n">
        <v>1</v>
      </c>
      <c r="J4" s="22" t="n">
        <f aca="false">1+Supuestos!$B$9</f>
        <v>0.4</v>
      </c>
      <c r="K4" s="22" t="n">
        <f aca="false">1+Supuestos!$B$9</f>
        <v>0.4</v>
      </c>
      <c r="L4" s="22" t="n">
        <v>1</v>
      </c>
      <c r="M4" s="22" t="n">
        <v>1</v>
      </c>
    </row>
    <row r="5" customFormat="false" ht="15" hidden="false" customHeight="false" outlineLevel="0" collapsed="false">
      <c r="A5" s="6" t="s">
        <v>109</v>
      </c>
      <c r="B5" s="18" t="n">
        <f aca="false">Supuestos!$B$7</f>
        <v>12.5</v>
      </c>
      <c r="C5" s="18" t="n">
        <f aca="false">Supuestos!$B$7</f>
        <v>12.5</v>
      </c>
      <c r="D5" s="18" t="n">
        <f aca="false">Supuestos!$B$7</f>
        <v>12.5</v>
      </c>
      <c r="E5" s="18" t="n">
        <f aca="false">Supuestos!$B$7</f>
        <v>12.5</v>
      </c>
      <c r="F5" s="18" t="n">
        <f aca="false">Supuestos!$B$7</f>
        <v>12.5</v>
      </c>
      <c r="G5" s="18" t="n">
        <f aca="false">Supuestos!$B$7</f>
        <v>12.5</v>
      </c>
      <c r="H5" s="18" t="n">
        <f aca="false">Supuestos!$B$7</f>
        <v>12.5</v>
      </c>
      <c r="I5" s="18" t="n">
        <f aca="false">Supuestos!$B$7</f>
        <v>12.5</v>
      </c>
      <c r="J5" s="18" t="n">
        <f aca="false">Supuestos!$B$7</f>
        <v>12.5</v>
      </c>
      <c r="K5" s="18" t="n">
        <f aca="false">Supuestos!$B$7</f>
        <v>12.5</v>
      </c>
      <c r="L5" s="18" t="n">
        <f aca="false">Supuestos!$B$7</f>
        <v>12.5</v>
      </c>
      <c r="M5" s="18" t="n">
        <f aca="false">Supuestos!$B$7</f>
        <v>12.5</v>
      </c>
    </row>
    <row r="6" customFormat="false" ht="23.85" hidden="false" customHeight="false" outlineLevel="0" collapsed="false">
      <c r="A6" s="6" t="s">
        <v>110</v>
      </c>
      <c r="B6" s="26" t="n">
        <f aca="false">'Punto de Equilibrio'!$C$11*B4</f>
        <v>77.4436090225564</v>
      </c>
      <c r="C6" s="26" t="n">
        <f aca="false">'Punto de Equilibrio'!$C$11*C4</f>
        <v>77.4436090225564</v>
      </c>
      <c r="D6" s="26" t="n">
        <f aca="false">'Punto de Equilibrio'!$C$11*D4</f>
        <v>77.4436090225564</v>
      </c>
      <c r="E6" s="26" t="n">
        <f aca="false">'Punto de Equilibrio'!$C$11*E4</f>
        <v>77.4436090225564</v>
      </c>
      <c r="F6" s="26" t="n">
        <f aca="false">'Punto de Equilibrio'!$C$11*F4</f>
        <v>77.4436090225564</v>
      </c>
      <c r="G6" s="26" t="n">
        <f aca="false">'Punto de Equilibrio'!$C$11*G4</f>
        <v>77.4436090225564</v>
      </c>
      <c r="H6" s="26" t="n">
        <f aca="false">'Punto de Equilibrio'!$C$11*H4</f>
        <v>77.4436090225564</v>
      </c>
      <c r="I6" s="26" t="n">
        <f aca="false">'Punto de Equilibrio'!$C$11*I4</f>
        <v>77.4436090225564</v>
      </c>
      <c r="J6" s="26" t="n">
        <f aca="false">'Punto de Equilibrio'!$C$11*J4</f>
        <v>30.9774436090226</v>
      </c>
      <c r="K6" s="26" t="n">
        <f aca="false">'Punto de Equilibrio'!$C$11*K4</f>
        <v>30.9774436090226</v>
      </c>
      <c r="L6" s="26" t="n">
        <f aca="false">'Punto de Equilibrio'!$C$11*L4</f>
        <v>77.4436090225564</v>
      </c>
      <c r="M6" s="26" t="n">
        <f aca="false">'Punto de Equilibrio'!$C$11*M4</f>
        <v>77.4436090225564</v>
      </c>
    </row>
    <row r="7" customFormat="false" ht="15" hidden="false" customHeight="false" outlineLevel="0" collapsed="false">
      <c r="A7" s="25" t="s">
        <v>111</v>
      </c>
      <c r="B7" s="27" t="n">
        <f aca="false">B6*30.4*B5</f>
        <v>29428.5714285714</v>
      </c>
      <c r="C7" s="27" t="n">
        <f aca="false">C6*30.4*C5</f>
        <v>29428.5714285714</v>
      </c>
      <c r="D7" s="27" t="n">
        <f aca="false">D6*30.4*D5</f>
        <v>29428.5714285714</v>
      </c>
      <c r="E7" s="27" t="n">
        <f aca="false">E6*30.4*E5</f>
        <v>29428.5714285714</v>
      </c>
      <c r="F7" s="27" t="n">
        <f aca="false">F6*30.4*F5</f>
        <v>29428.5714285714</v>
      </c>
      <c r="G7" s="27" t="n">
        <f aca="false">G6*30.4*G5</f>
        <v>29428.5714285714</v>
      </c>
      <c r="H7" s="27" t="n">
        <f aca="false">H6*30.4*H5</f>
        <v>29428.5714285714</v>
      </c>
      <c r="I7" s="27" t="n">
        <f aca="false">I6*30.4*I5</f>
        <v>29428.5714285714</v>
      </c>
      <c r="J7" s="27" t="n">
        <f aca="false">J6*30.4*J5</f>
        <v>11771.4285714286</v>
      </c>
      <c r="K7" s="27" t="n">
        <f aca="false">K6*30.4*K5</f>
        <v>11771.4285714286</v>
      </c>
      <c r="L7" s="27" t="n">
        <f aca="false">L6*30.4*L5</f>
        <v>29428.5714285714</v>
      </c>
      <c r="M7" s="27" t="n">
        <f aca="false">M6*30.4*M5</f>
        <v>29428.5714285714</v>
      </c>
      <c r="N7" s="27" t="n">
        <f aca="false">SUM(B7:M7)</f>
        <v>317828.571428572</v>
      </c>
    </row>
    <row r="8" customFormat="false" ht="15" hidden="false" customHeight="false" outlineLevel="0" collapsed="false">
      <c r="A8" s="6" t="s">
        <v>112</v>
      </c>
      <c r="B8" s="18" t="n">
        <f aca="false">-B7*Supuestos!$B$10</f>
        <v>-8828.57142857143</v>
      </c>
      <c r="C8" s="18" t="n">
        <f aca="false">-C7*Supuestos!$B$10</f>
        <v>-8828.57142857143</v>
      </c>
      <c r="D8" s="18" t="n">
        <f aca="false">-D7*Supuestos!$B$10</f>
        <v>-8828.57142857143</v>
      </c>
      <c r="E8" s="18" t="n">
        <f aca="false">-E7*Supuestos!$B$10</f>
        <v>-8828.57142857143</v>
      </c>
      <c r="F8" s="18" t="n">
        <f aca="false">-F7*Supuestos!$B$10</f>
        <v>-8828.57142857143</v>
      </c>
      <c r="G8" s="18" t="n">
        <f aca="false">-G7*Supuestos!$B$10</f>
        <v>-8828.57142857143</v>
      </c>
      <c r="H8" s="18" t="n">
        <f aca="false">-H7*Supuestos!$B$10</f>
        <v>-8828.57142857143</v>
      </c>
      <c r="I8" s="18" t="n">
        <f aca="false">-I7*Supuestos!$B$10</f>
        <v>-8828.57142857143</v>
      </c>
      <c r="J8" s="18" t="n">
        <f aca="false">-J7*Supuestos!$B$10</f>
        <v>-3531.42857142857</v>
      </c>
      <c r="K8" s="18" t="n">
        <f aca="false">-K7*Supuestos!$B$10</f>
        <v>-3531.42857142857</v>
      </c>
      <c r="L8" s="18" t="n">
        <f aca="false">-L7*Supuestos!$B$10</f>
        <v>-8828.57142857143</v>
      </c>
      <c r="M8" s="18" t="n">
        <f aca="false">-M7*Supuestos!$B$10</f>
        <v>-8828.57142857143</v>
      </c>
      <c r="N8" s="18" t="n">
        <f aca="false">SUM(B8:M8)</f>
        <v>-95348.5714285714</v>
      </c>
    </row>
    <row r="9" customFormat="false" ht="15" hidden="false" customHeight="false" outlineLevel="0" collapsed="false">
      <c r="A9" s="25" t="s">
        <v>113</v>
      </c>
      <c r="B9" s="27" t="n">
        <f aca="false">B7+B8</f>
        <v>20600</v>
      </c>
      <c r="C9" s="27" t="n">
        <f aca="false">C7+C8</f>
        <v>20600</v>
      </c>
      <c r="D9" s="27" t="n">
        <f aca="false">D7+D8</f>
        <v>20600</v>
      </c>
      <c r="E9" s="27" t="n">
        <f aca="false">E7+E8</f>
        <v>20600</v>
      </c>
      <c r="F9" s="27" t="n">
        <f aca="false">F7+F8</f>
        <v>20600</v>
      </c>
      <c r="G9" s="27" t="n">
        <f aca="false">G7+G8</f>
        <v>20600</v>
      </c>
      <c r="H9" s="27" t="n">
        <f aca="false">H7+H8</f>
        <v>20600</v>
      </c>
      <c r="I9" s="27" t="n">
        <f aca="false">I7+I8</f>
        <v>20600</v>
      </c>
      <c r="J9" s="27" t="n">
        <f aca="false">J7+J8</f>
        <v>8240</v>
      </c>
      <c r="K9" s="27" t="n">
        <f aca="false">K7+K8</f>
        <v>8240</v>
      </c>
      <c r="L9" s="27" t="n">
        <f aca="false">L7+L8</f>
        <v>20600</v>
      </c>
      <c r="M9" s="27" t="n">
        <f aca="false">M7+M8</f>
        <v>20600</v>
      </c>
      <c r="N9" s="27" t="n">
        <f aca="false">SUM(B9:M9)</f>
        <v>222480</v>
      </c>
    </row>
    <row r="10" customFormat="false" ht="15" hidden="false" customHeight="false" outlineLevel="0" collapsed="false">
      <c r="A10" s="6" t="s">
        <v>114</v>
      </c>
      <c r="B10" s="18" t="n">
        <f aca="false">-Personal!$F$11</f>
        <v>-18620</v>
      </c>
      <c r="C10" s="18" t="n">
        <f aca="false">-Personal!$F$11</f>
        <v>-18620</v>
      </c>
      <c r="D10" s="18" t="n">
        <f aca="false">-Personal!$F$11</f>
        <v>-18620</v>
      </c>
      <c r="E10" s="18" t="n">
        <f aca="false">-Personal!$F$11</f>
        <v>-18620</v>
      </c>
      <c r="F10" s="18" t="n">
        <f aca="false">-Personal!$F$11</f>
        <v>-18620</v>
      </c>
      <c r="G10" s="18" t="n">
        <f aca="false">-Personal!$F$11</f>
        <v>-18620</v>
      </c>
      <c r="H10" s="18" t="n">
        <f aca="false">-Personal!$F$11</f>
        <v>-18620</v>
      </c>
      <c r="I10" s="18" t="n">
        <f aca="false">-Personal!$F$11</f>
        <v>-18620</v>
      </c>
      <c r="J10" s="18" t="n">
        <f aca="false">-Personal!$F$11</f>
        <v>-18620</v>
      </c>
      <c r="K10" s="18" t="n">
        <f aca="false">-Personal!$F$11</f>
        <v>-18620</v>
      </c>
      <c r="L10" s="18" t="n">
        <f aca="false">-Personal!$F$11</f>
        <v>-18620</v>
      </c>
      <c r="M10" s="18" t="n">
        <f aca="false">-Personal!$F$11</f>
        <v>-18620</v>
      </c>
      <c r="N10" s="18" t="n">
        <f aca="false">SUM(B10:M10)</f>
        <v>-223440</v>
      </c>
    </row>
    <row r="11" customFormat="false" ht="15" hidden="false" customHeight="false" outlineLevel="0" collapsed="false">
      <c r="A11" s="6" t="s">
        <v>115</v>
      </c>
      <c r="B11" s="18" t="n">
        <f aca="false">-'Costes Fijos'!$B$9</f>
        <v>-1980</v>
      </c>
      <c r="C11" s="18" t="n">
        <f aca="false">-'Costes Fijos'!$B$9</f>
        <v>-1980</v>
      </c>
      <c r="D11" s="18" t="n">
        <f aca="false">-'Costes Fijos'!$B$9</f>
        <v>-1980</v>
      </c>
      <c r="E11" s="18" t="n">
        <f aca="false">-'Costes Fijos'!$B$9</f>
        <v>-1980</v>
      </c>
      <c r="F11" s="18" t="n">
        <f aca="false">-'Costes Fijos'!$B$9</f>
        <v>-1980</v>
      </c>
      <c r="G11" s="18" t="n">
        <f aca="false">-'Costes Fijos'!$B$9</f>
        <v>-1980</v>
      </c>
      <c r="H11" s="18" t="n">
        <f aca="false">-'Costes Fijos'!$B$9</f>
        <v>-1980</v>
      </c>
      <c r="I11" s="18" t="n">
        <f aca="false">-'Costes Fijos'!$B$9</f>
        <v>-1980</v>
      </c>
      <c r="J11" s="18" t="n">
        <f aca="false">-'Costes Fijos'!$B$9</f>
        <v>-1980</v>
      </c>
      <c r="K11" s="18" t="n">
        <f aca="false">-'Costes Fijos'!$B$9</f>
        <v>-1980</v>
      </c>
      <c r="L11" s="18" t="n">
        <f aca="false">-'Costes Fijos'!$B$9</f>
        <v>-1980</v>
      </c>
      <c r="M11" s="18" t="n">
        <f aca="false">-'Costes Fijos'!$B$9</f>
        <v>-1980</v>
      </c>
      <c r="N11" s="18" t="n">
        <f aca="false">SUM(B11:M11)</f>
        <v>-23760</v>
      </c>
    </row>
    <row r="12" customFormat="false" ht="15" hidden="false" customHeight="false" outlineLevel="0" collapsed="false">
      <c r="A12" s="13" t="s">
        <v>116</v>
      </c>
      <c r="B12" s="14" t="n">
        <f aca="false">B9+B10+B11</f>
        <v>7.27595761418343E-012</v>
      </c>
      <c r="C12" s="14" t="n">
        <f aca="false">C9+C10+C11</f>
        <v>7.27595761418343E-012</v>
      </c>
      <c r="D12" s="14" t="n">
        <f aca="false">D9+D10+D11</f>
        <v>7.27595761418343E-012</v>
      </c>
      <c r="E12" s="14" t="n">
        <f aca="false">E9+E10+E11</f>
        <v>7.27595761418343E-012</v>
      </c>
      <c r="F12" s="14" t="n">
        <f aca="false">F9+F10+F11</f>
        <v>7.27595761418343E-012</v>
      </c>
      <c r="G12" s="14" t="n">
        <f aca="false">G9+G10+G11</f>
        <v>7.27595761418343E-012</v>
      </c>
      <c r="H12" s="14" t="n">
        <f aca="false">H9+H10+H11</f>
        <v>7.27595761418343E-012</v>
      </c>
      <c r="I12" s="14" t="n">
        <f aca="false">I9+I10+I11</f>
        <v>7.27595761418343E-012</v>
      </c>
      <c r="J12" s="14" t="n">
        <f aca="false">J9+J10+J11</f>
        <v>-12360</v>
      </c>
      <c r="K12" s="14" t="n">
        <f aca="false">K9+K10+K11</f>
        <v>-12360</v>
      </c>
      <c r="L12" s="14" t="n">
        <f aca="false">L9+L10+L11</f>
        <v>7.27595761418343E-012</v>
      </c>
      <c r="M12" s="14" t="n">
        <f aca="false">M9+M10+M11</f>
        <v>7.27595761418343E-012</v>
      </c>
      <c r="N12" s="14" t="n">
        <f aca="false">SUM(B12:M12)</f>
        <v>-24719.9999999999</v>
      </c>
    </row>
    <row r="13" customFormat="false" ht="15" hidden="false" customHeight="false" outlineLevel="0" collapsed="false">
      <c r="A13" s="6" t="s">
        <v>117</v>
      </c>
      <c r="B13" s="22" t="n">
        <f aca="false">IFERROR(B12/B7,0)</f>
        <v>2.47241278151864E-016</v>
      </c>
      <c r="C13" s="22" t="n">
        <f aca="false">IFERROR(C12/C7,0)</f>
        <v>2.47241278151864E-016</v>
      </c>
      <c r="D13" s="22" t="n">
        <f aca="false">IFERROR(D12/D7,0)</f>
        <v>2.47241278151864E-016</v>
      </c>
      <c r="E13" s="22" t="n">
        <f aca="false">IFERROR(E12/E7,0)</f>
        <v>2.47241278151864E-016</v>
      </c>
      <c r="F13" s="22" t="n">
        <f aca="false">IFERROR(F12/F7,0)</f>
        <v>2.47241278151864E-016</v>
      </c>
      <c r="G13" s="22" t="n">
        <f aca="false">IFERROR(G12/G7,0)</f>
        <v>2.47241278151864E-016</v>
      </c>
      <c r="H13" s="22" t="n">
        <f aca="false">IFERROR(H12/H7,0)</f>
        <v>2.47241278151864E-016</v>
      </c>
      <c r="I13" s="22" t="n">
        <f aca="false">IFERROR(I12/I7,0)</f>
        <v>2.47241278151864E-016</v>
      </c>
      <c r="J13" s="22" t="n">
        <f aca="false">IFERROR(J12/J7,0)</f>
        <v>-1.05</v>
      </c>
      <c r="K13" s="22" t="n">
        <f aca="false">IFERROR(K12/K7,0)</f>
        <v>-1.05</v>
      </c>
      <c r="L13" s="22" t="n">
        <f aca="false">IFERROR(L12/L7,0)</f>
        <v>2.47241278151864E-016</v>
      </c>
      <c r="M13" s="22" t="n">
        <f aca="false">IFERROR(M12/M7,0)</f>
        <v>2.47241278151864E-016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28" t="s">
        <v>118</v>
      </c>
      <c r="B1" s="28"/>
    </row>
    <row r="3" customFormat="false" ht="39.75" hidden="false" customHeight="true" outlineLevel="0" collapsed="false">
      <c r="A3" s="29" t="s">
        <v>119</v>
      </c>
      <c r="B3" s="29"/>
    </row>
    <row r="4" customFormat="false" ht="39.75" hidden="false" customHeight="true" outlineLevel="0" collapsed="false">
      <c r="A4" s="29" t="s">
        <v>120</v>
      </c>
      <c r="B4" s="29"/>
    </row>
    <row r="5" customFormat="false" ht="39.75" hidden="false" customHeight="true" outlineLevel="0" collapsed="false">
      <c r="A5" s="29" t="s">
        <v>121</v>
      </c>
      <c r="B5" s="29"/>
    </row>
    <row r="6" customFormat="false" ht="39.75" hidden="false" customHeight="true" outlineLevel="0" collapsed="false">
      <c r="A6" s="29" t="s">
        <v>122</v>
      </c>
      <c r="B6" s="29"/>
    </row>
    <row r="7" customFormat="false" ht="39.75" hidden="false" customHeight="true" outlineLevel="0" collapsed="false">
      <c r="A7" s="29" t="s">
        <v>123</v>
      </c>
      <c r="B7" s="29"/>
    </row>
    <row r="8" customFormat="false" ht="39.75" hidden="false" customHeight="true" outlineLevel="0" collapsed="false">
      <c r="A8" s="29" t="s">
        <v>124</v>
      </c>
      <c r="B8" s="29"/>
    </row>
    <row r="9" customFormat="false" ht="39.75" hidden="false" customHeight="true" outlineLevel="0" collapsed="false">
      <c r="A9" s="29" t="s">
        <v>125</v>
      </c>
      <c r="B9" s="29"/>
    </row>
    <row r="10" customFormat="false" ht="39.75" hidden="false" customHeight="true" outlineLevel="0" collapsed="false">
      <c r="A10" s="29" t="s">
        <v>126</v>
      </c>
      <c r="B10" s="29"/>
    </row>
    <row r="11" customFormat="false" ht="39.75" hidden="false" customHeight="true" outlineLevel="0" collapsed="false">
      <c r="A11" s="29" t="s">
        <v>127</v>
      </c>
      <c r="B11" s="29"/>
    </row>
  </sheetData>
  <mergeCells count="10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2026-10-19T15:12:46Z</dcterms:created>
  <dc:creator>openpyxl</dc:creator>
  <dc:description/>
  <dc:language>en-US</dc:language>
  <cp:lastModifiedBy/>
  <dcterms:modified xsi:type="dcterms:W3CDTF">2026-10-19T15:12:46Z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