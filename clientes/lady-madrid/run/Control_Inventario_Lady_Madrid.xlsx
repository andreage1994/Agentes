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ntas del mes" sheetId="2" state="visible" r:id="rId2"/>
    <sheet xmlns:r="http://schemas.openxmlformats.org/officeDocument/2006/relationships" name="Escandallos" sheetId="3" state="visible" r:id="rId3"/>
    <sheet xmlns:r="http://schemas.openxmlformats.org/officeDocument/2006/relationships" name="Invent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F5233"/>
      <sz val="11"/>
    </font>
    <font>
      <name val="Arial"/>
      <sz val="10.5"/>
    </font>
    <font>
      <name val="Arial"/>
      <b val="1"/>
      <color rgb="002F5233"/>
      <sz val="12"/>
    </font>
    <font>
      <name val="Arial"/>
      <b val="1"/>
      <color rgb="00FFFFFF"/>
      <sz val="10.5"/>
    </font>
    <font>
      <name val="Arial"/>
      <color rgb="001F4E78"/>
      <sz val="10.5"/>
    </font>
    <font>
      <name val="Arial"/>
      <b val="1"/>
      <sz val="10.5"/>
    </font>
    <font>
      <name val="Arial"/>
      <b val="1"/>
      <color rgb="00C00000"/>
      <sz val="10.5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6" fillId="3" borderId="1" pivotButton="0" quotePrefix="0" xfId="0"/>
    <xf numFmtId="0" fontId="5" fillId="2" borderId="0" applyAlignment="1" pivotButton="0" quotePrefix="0" xfId="0">
      <alignment horizontal="center" vertical="center" wrapText="1"/>
    </xf>
    <xf numFmtId="164" fontId="3" fillId="0" borderId="1" pivotButton="0" quotePrefix="0" xfId="0"/>
    <xf numFmtId="164" fontId="3" fillId="4" borderId="1" pivotButton="0" quotePrefix="0" xfId="0"/>
    <xf numFmtId="0" fontId="7" fillId="0" borderId="0" pivotButton="0" quotePrefix="0" xfId="0"/>
    <xf numFmtId="9" fontId="6" fillId="3" borderId="0" pivotButton="0" quotePrefix="0" xfId="0"/>
    <xf numFmtId="164" fontId="6" fillId="3" borderId="1" pivotButton="0" quotePrefix="0" xfId="0"/>
    <xf numFmtId="165" fontId="3" fillId="0" borderId="1" pivotButton="0" quotePrefix="0" xfId="0"/>
    <xf numFmtId="0" fontId="8" fillId="0" borderId="1" applyAlignment="1" pivotButton="0" quotePrefix="0" xfId="0">
      <alignment horizontal="center"/>
    </xf>
    <xf numFmtId="0" fontId="3" fillId="4" borderId="1" pivotButton="0" quotePrefix="0" xfId="0"/>
    <xf numFmtId="164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TBNB</author>
  </authors>
  <commentList>
    <comment ref="D224" authorId="0" shapeId="0">
      <text>
        <t>Cantidad no especificada en el archivo original — confirmar con cocina/obrador.</t>
      </text>
    </comment>
  </commentList>
</comments>
</file>

<file path=xl/comments/comment2.xml><?xml version="1.0" encoding="utf-8"?>
<comments xmlns="http://schemas.openxmlformats.org/spreadsheetml/2006/main">
  <authors>
    <author>TBNB</author>
  </authors>
  <commentList>
    <comment ref="B10" authorId="0" shapeId="0">
      <text>
        <t>Unidad inconsistente entre platos: KG, L, ML. Confirmar con cocina/obrador cuál es la correcta.</t>
      </text>
    </comment>
    <comment ref="B11" authorId="0" shapeId="0">
      <text>
        <t>Unidad inconsistente entre platos: GR, KG. Confirmar con cocina/obrador cuál es la correcta.</t>
      </text>
    </comment>
    <comment ref="B13" authorId="0" shapeId="0">
      <text>
        <t>Unidad inconsistente entre platos: L, UD. Confirmar con cocina/obrador cuál es la correcta.</t>
      </text>
    </comment>
    <comment ref="B15" authorId="0" shapeId="0">
      <text>
        <t>Unidad inconsistente entre platos: L, UD. Confirmar con cocina/obrador cuál es la correcta.</t>
      </text>
    </comment>
    <comment ref="B40" authorId="0" shapeId="0">
      <text>
        <t>Unidad inconsistente entre platos: KG, L. Confirmar con cocina/obrador cuál es la correcta.</t>
      </text>
    </comment>
    <comment ref="B45" authorId="0" shapeId="0">
      <text>
        <t>Unidad inconsistente entre platos: KG, L. Confirmar con cocina/obrador cuál es la correcta.</t>
      </text>
    </comment>
    <comment ref="B57" authorId="0" shapeId="0">
      <text>
        <t>Unidad inconsistente entre platos: KG, UD. Confirmar con cocina/obrador cuál es la correcta.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Control de Inventario y Mermas — Lady Madrid</t>
        </is>
      </c>
    </row>
    <row r="3">
      <c r="A3" s="2" t="inlineStr">
        <is>
          <t>Qué es este documento</t>
        </is>
      </c>
    </row>
    <row r="4" ht="62" customHeight="1">
      <c r="A4" s="3" t="inlineStr">
        <is>
          <t>Convierte el recuento de inventario mensual en una herramienta de decisión: compara lo que debería haberse consumido (según los escandallos reales de cocina y obrador) contra lo que de verdad ha desaparecido del stock, para detectar mermas, ajustar pedidos y vigilar producto de baja rotación. Conecta con la sección 2.c (Estándares de calidad) del documento de Estrategia y Modelo Operativo.</t>
        </is>
      </c>
    </row>
    <row r="6">
      <c r="A6" s="2" t="inlineStr">
        <is>
          <t>De dónde sale el dato</t>
        </is>
      </c>
    </row>
    <row r="7" ht="62" customHeight="1">
      <c r="A7" s="3" t="inlineStr">
        <is>
          <t>La pestaña 'Escandallos' es una extracción directa de Escandallos_LadyMadrid.xlsx (las pestañas DISHES_TOSTADAS, DISHES_DULCES, DISHES_BRIOCHE, DISHES_TARDES, BEBIDAS_CAFÉ y _OBRADOR_ESCANDALLOS) — no son datos inventados ni del F&amp;B Bible, son el archivo de costes real que ya usa cocina. Incluye el obrador (briochería y tartas), no solo café.</t>
        </is>
      </c>
    </row>
    <row r="9">
      <c r="A9" s="2" t="inlineStr">
        <is>
          <t>El proceso, de principio a fin</t>
        </is>
      </c>
    </row>
    <row r="10" ht="62" customHeight="1">
      <c r="A10" s="3" t="inlineStr">
        <is>
          <t>1. El encargado/a hace el recuento físico mensual en una hoja aparte (papel o checklist). 2. El encargado/a traslada ese recuento a este Excel, pestaña 'Inventario', columna 'Inventario mes final (recuento real)'. 3. Propiedad analiza los datos cada mes: la pestaña 'Inventario' ya calcula sola la variación entre lo que debería haber (según ventas reales) y lo que de verdad queda en stock — Propiedad solo tiene que mirar la columna 'Revisar'.</t>
        </is>
      </c>
    </row>
    <row r="12">
      <c r="A12" s="2" t="inlineStr">
        <is>
          <t>Pestaña 'Ventas del mes'</t>
        </is>
      </c>
    </row>
    <row r="13" ht="62" customHeight="1">
      <c r="A13" s="3" t="inlineStr">
        <is>
          <t>Rellenar las unidades vendidas de cada plato/producto del mes (dato del TPV). Un plato puede aparecer más de una vez si existe en más de una carta (p. ej. 'PISTO Y YEMA CURADA' en desayunos y en tardes) — son líneas distintas a propósito, no hay que fusionarlas.</t>
        </is>
      </c>
    </row>
    <row r="15">
      <c r="A15" s="2" t="inlineStr">
        <is>
          <t>Pestaña 'Escandallos'</t>
        </is>
      </c>
    </row>
    <row r="16" ht="62" customHeight="1">
      <c r="A16" s="3" t="inlineStr">
        <is>
          <t>323 líneas de ingrediente, una por cada producto de Escandallos_LadyMadrid.xlsx. No tocar salvo que cambie una receta o se dé de alta un plato nuevo — en ese caso, añadirlo aquí Y en 'Ventas del mes' con el mismo nombre y categoría exactos. (más 7 líneas de BEBIDAS_OTRAS añadidas el 2026-10-20, ver nota al final de esta pestaña).</t>
        </is>
      </c>
    </row>
    <row r="18">
      <c r="A18" s="2" t="inlineStr">
        <is>
          <t>Pestaña 'Inventario'</t>
        </is>
      </c>
    </row>
    <row r="19" ht="62" customHeight="1">
      <c r="A19" s="3" t="inlineStr">
        <is>
          <t>Una fila por ingrediente (168 ingredientes únicos). Rellenar solo las 3 columnas amarillas: inventario del mes anterior, compras del mes, e inventario real del mes actual (el recuento físico). Todo lo demás —consumo teórico, variación, alerta— se calcula solo. (más 7 bebidas y el bloque de CONSUMIBLES al final de la pestaña, añadidos el 2026-10-20).</t>
        </is>
      </c>
    </row>
    <row r="21">
      <c r="A21" s="2" t="inlineStr">
        <is>
          <t>Cómo leer la variación</t>
        </is>
      </c>
    </row>
    <row r="22" ht="62" customHeight="1">
      <c r="A22" s="3" t="inlineStr">
        <is>
          <t>Variación = inventario real final − inventario teórico esperado. Negativa: ha desaparecido más producto del que explican las ventas (merma, porciones de más, o posible descontrol). Positiva: queda más producto del esperado (puede ser un error de recuento o de escandallo). La columna 'Revisar' marca cualquier variación superior al umbral de la celda B2 de 'Inventario' (10% por defecto, ajustable).</t>
        </is>
      </c>
    </row>
    <row r="24">
      <c r="A24" s="2" t="inlineStr">
        <is>
          <t>Qué decisiones debe generar esto cada mes</t>
        </is>
      </c>
    </row>
    <row r="25" ht="62" customHeight="1">
      <c r="A25" s="3" t="inlineStr">
        <is>
          <t>1) Ajustar el pedido del mes siguiente según el consumo real, no 'lo de siempre'. 2) Investigar cualquier ingrediente marcado como 'Revisar' antes del siguiente ciclo. 3) Detectar ingredientes o platos de muy baja rotación (consumo teórico casi 0) como candidatos a revisar en carta — conecta con Menu Engineering.</t>
        </is>
      </c>
    </row>
    <row r="27">
      <c r="A27" s="2" t="inlineStr">
        <is>
          <t>Aviso de calidad de datos, detectado al construir este archivo</t>
        </is>
      </c>
    </row>
    <row r="28" ht="62" customHeight="1">
      <c r="A28" s="3" t="inlineStr">
        <is>
          <t>(1) 2 líneas del archivo original no eran ingredientes reales (una nota de preparación y una etiqueta de sección) — excluidas, no aparecen en 'Escandallos'. (2) 'AOVE' en CAKE CHOCOLATE, AOVE Y SAL no tiene cantidad especificada en el archivo original — queda en 0, hay que confirmarla con cocina/obrador. (3) Unidad inconsistente entre platos para 7 ingredientes (AOVE, Escamas de sal, Huevo pochado, Almendra laminada, Almendra tostada, Brioche — marcados con comentario en la pestaña Inventario). (4) Nombres casi idénticos pero no exactos entre platos (ej. 'PISTO Y YEMA CURADA' en desayunos y en tardes; variantes marcadas '(no)' que parecen descatalogadas) — no se han fusionado ni eliminado por mi cuenta, alguien de cocina tiene que confirmarlo.</t>
        </is>
      </c>
    </row>
    <row r="30">
      <c r="A30" s="2" t="inlineStr">
        <is>
          <t>Actualización 2026-10-20 — Bebidas y consumibles</t>
        </is>
      </c>
    </row>
    <row r="31">
      <c r="A31" s="3" t="inlineStr">
        <is>
          <t>Se ha ampliado esta plantilla para cubrir no solo comida/obrador sino también bebidas (más allá del café, que ya estaba cubierto en BEBIDAS_CAFÉ) y consumibles. La categoría BEBIDAS_OTRAS sigue el mismo circuito que el resto (Ventas del mes → Escandallos → Inventario): cada bebida se trata como un ingrediente de cantidad 1 por unidad vendida (consumo directo, sin receta). Los consumibles (limpieza, papel, envases) no se venden como plato, así que no pasan por 'Ventas del mes': tienen su propio bloque al final de la pestaña 'Inventario', con seguimiento directo por compras y recuento físico, sin consumo teórico.</t>
        </is>
      </c>
    </row>
    <row r="32">
      <c r="A32" s="3" t="inlineStr">
        <is>
          <t>Las líneas de BEBIDAS_OTRAS y del bloque CONSUMIBLES son EJEMPLOS de referencia (formato de hostelería estándar), no el listado real de Lady Madrid — hay que sustituirlas por la carta real de bebidas y el listado real de consumibles del local antes de usar esta plantilla en producción. Pendiente: pedir a Andrea/cocina el listado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30" customWidth="1" min="4" max="4"/>
  </cols>
  <sheetData>
    <row r="1">
      <c r="A1" s="4" t="inlineStr">
        <is>
          <t>Ventas del mes — unidades vendidas</t>
        </is>
      </c>
    </row>
    <row r="3" ht="20" customHeight="1">
      <c r="A3" s="5" t="inlineStr">
        <is>
          <t>Categoría</t>
        </is>
      </c>
      <c r="B3" s="5" t="inlineStr">
        <is>
          <t>Plato / Producto</t>
        </is>
      </c>
      <c r="C3" s="5" t="inlineStr">
        <is>
          <t>Unidades vendidas (mes)</t>
        </is>
      </c>
      <c r="D3" s="5" t="inlineStr">
        <is>
          <t>Notas</t>
        </is>
      </c>
    </row>
    <row r="4">
      <c r="A4" s="6" t="inlineStr">
        <is>
          <t>DISHES_TOSTADAS</t>
        </is>
      </c>
      <c r="B4" s="6" t="inlineStr">
        <is>
          <t>TOSTADA DE JAMÓN IBÉRICO</t>
        </is>
      </c>
      <c r="C4" s="7" t="n">
        <v>0</v>
      </c>
      <c r="D4" s="6" t="inlineStr"/>
    </row>
    <row r="5">
      <c r="A5" s="6" t="inlineStr">
        <is>
          <t>DISHES_TOSTADAS</t>
        </is>
      </c>
      <c r="B5" s="6" t="inlineStr">
        <is>
          <t>TOSTADA DE AGUACATE</t>
        </is>
      </c>
      <c r="C5" s="7" t="n">
        <v>0</v>
      </c>
      <c r="D5" s="6" t="inlineStr"/>
    </row>
    <row r="6">
      <c r="A6" s="6" t="inlineStr">
        <is>
          <t>DISHES_TOSTADAS</t>
        </is>
      </c>
      <c r="B6" s="6" t="inlineStr">
        <is>
          <t>TOMATE, AOVE, SAL</t>
        </is>
      </c>
      <c r="C6" s="7" t="n">
        <v>0</v>
      </c>
      <c r="D6" s="6" t="inlineStr"/>
    </row>
    <row r="7">
      <c r="A7" s="6" t="inlineStr">
        <is>
          <t>DISHES_TOSTADAS</t>
        </is>
      </c>
      <c r="B7" s="6" t="inlineStr">
        <is>
          <t>MANTEQUILLA BATIDA Y MERMELADA</t>
        </is>
      </c>
      <c r="C7" s="7" t="n">
        <v>0</v>
      </c>
      <c r="D7" s="6" t="inlineStr"/>
    </row>
    <row r="8">
      <c r="A8" s="6" t="inlineStr">
        <is>
          <t>DISHES_TOSTADAS</t>
        </is>
      </c>
      <c r="B8" s="6" t="inlineStr">
        <is>
          <t>SALMÓN AHUMADO</t>
        </is>
      </c>
      <c r="C8" s="7" t="n">
        <v>0</v>
      </c>
      <c r="D8" s="6" t="inlineStr"/>
    </row>
    <row r="9">
      <c r="A9" s="6" t="inlineStr">
        <is>
          <t>DISHES_TOSTADAS</t>
        </is>
      </c>
      <c r="B9" s="6" t="inlineStr">
        <is>
          <t>TOMATE ASADO Y ANCHOA</t>
        </is>
      </c>
      <c r="C9" s="7" t="n">
        <v>0</v>
      </c>
      <c r="D9" s="6" t="inlineStr"/>
    </row>
    <row r="10">
      <c r="A10" s="6" t="inlineStr">
        <is>
          <t>DISHES_TOSTADAS</t>
        </is>
      </c>
      <c r="B10" s="6" t="inlineStr">
        <is>
          <t>PISTO Y YEMA CURADA</t>
        </is>
      </c>
      <c r="C10" s="7" t="n">
        <v>0</v>
      </c>
      <c r="D10" s="6" t="inlineStr"/>
    </row>
    <row r="11">
      <c r="A11" s="6" t="inlineStr">
        <is>
          <t>DISHES_TOSTADAS</t>
        </is>
      </c>
      <c r="B11" s="6" t="inlineStr">
        <is>
          <t>PISTO Y YEMA CURADA CON HUEVO POCHADO</t>
        </is>
      </c>
      <c r="C11" s="7" t="n">
        <v>0</v>
      </c>
      <c r="D11" s="6" t="inlineStr"/>
    </row>
    <row r="12">
      <c r="A12" s="6" t="inlineStr">
        <is>
          <t>DISHES_TOSTADAS</t>
        </is>
      </c>
      <c r="B12" s="6" t="inlineStr">
        <is>
          <t>"COCIDO"</t>
        </is>
      </c>
      <c r="C12" s="7" t="n">
        <v>0</v>
      </c>
      <c r="D12" s="6" t="inlineStr"/>
    </row>
    <row r="13">
      <c r="A13" s="6" t="inlineStr">
        <is>
          <t>DISHES_TOSTADAS</t>
        </is>
      </c>
      <c r="B13" s="6" t="inlineStr">
        <is>
          <t>DE LECHE MERENGADA</t>
        </is>
      </c>
      <c r="C13" s="7" t="n">
        <v>0</v>
      </c>
      <c r="D13" s="6" t="inlineStr"/>
    </row>
    <row r="14">
      <c r="A14" s="6" t="inlineStr">
        <is>
          <t>DISHES_TOSTADAS</t>
        </is>
      </c>
      <c r="B14" s="6" t="inlineStr">
        <is>
          <t>TOSTADA DE JAMÓN IBÉRICO con huevo</t>
        </is>
      </c>
      <c r="C14" s="7" t="n">
        <v>0</v>
      </c>
      <c r="D14" s="6" t="inlineStr"/>
    </row>
    <row r="15">
      <c r="A15" s="6" t="inlineStr">
        <is>
          <t>DISHES_TOSTADAS</t>
        </is>
      </c>
      <c r="B15" s="6" t="inlineStr">
        <is>
          <t>TOMATE, AOVE, SAL CON HUEVO</t>
        </is>
      </c>
      <c r="C15" s="7" t="n">
        <v>0</v>
      </c>
      <c r="D15" s="6" t="inlineStr"/>
    </row>
    <row r="16">
      <c r="A16" s="6" t="inlineStr">
        <is>
          <t>DISHES_TOSTADAS</t>
        </is>
      </c>
      <c r="B16" s="6" t="inlineStr">
        <is>
          <t>TOMATE, AOVE, SAL CON JAMON (no)</t>
        </is>
      </c>
      <c r="C16" s="7" t="n">
        <v>0</v>
      </c>
      <c r="D16" s="6" t="inlineStr"/>
    </row>
    <row r="17">
      <c r="A17" s="6" t="inlineStr">
        <is>
          <t>DISHES_TOSTADAS</t>
        </is>
      </c>
      <c r="B17" s="6" t="inlineStr">
        <is>
          <t>TOMATE, AOVE, SAL CON QUESO (no)</t>
        </is>
      </c>
      <c r="C17" s="7" t="n">
        <v>0</v>
      </c>
      <c r="D17" s="6" t="inlineStr"/>
    </row>
    <row r="18">
      <c r="A18" s="6" t="inlineStr">
        <is>
          <t>DISHES_DULCES</t>
        </is>
      </c>
      <c r="B18" s="6" t="inlineStr">
        <is>
          <t>Yogur de granja verano</t>
        </is>
      </c>
      <c r="C18" s="7" t="n">
        <v>0</v>
      </c>
      <c r="D18" s="6" t="inlineStr"/>
    </row>
    <row r="19">
      <c r="A19" s="6" t="inlineStr">
        <is>
          <t>DISHES_DULCES</t>
        </is>
      </c>
      <c r="B19" s="6" t="inlineStr">
        <is>
          <t>Yogur de granja Otoño</t>
        </is>
      </c>
      <c r="C19" s="7" t="n">
        <v>0</v>
      </c>
      <c r="D19" s="6" t="inlineStr"/>
    </row>
    <row r="20">
      <c r="A20" s="6" t="inlineStr">
        <is>
          <t>DISHES_DULCES</t>
        </is>
      </c>
      <c r="B20" s="6" t="inlineStr">
        <is>
          <t>YOGUR DE GRANJA PRIMAVERA</t>
        </is>
      </c>
      <c r="C20" s="7" t="n">
        <v>0</v>
      </c>
      <c r="D20" s="6" t="inlineStr"/>
    </row>
    <row r="21">
      <c r="A21" s="6" t="inlineStr">
        <is>
          <t>DISHES_DULCES</t>
        </is>
      </c>
      <c r="B21" s="6" t="inlineStr">
        <is>
          <t>YOGUR DE GRANJA INVIERNO</t>
        </is>
      </c>
      <c r="C21" s="7" t="n">
        <v>0</v>
      </c>
      <c r="D21" s="6" t="inlineStr"/>
    </row>
    <row r="22">
      <c r="A22" s="6" t="inlineStr">
        <is>
          <t>DISHES_DULCES</t>
        </is>
      </c>
      <c r="B22" s="6" t="inlineStr">
        <is>
          <t>TORRIJA DE LECHE MERENGADA</t>
        </is>
      </c>
      <c r="C22" s="7" t="n">
        <v>0</v>
      </c>
      <c r="D22" s="6" t="inlineStr"/>
    </row>
    <row r="23">
      <c r="A23" s="6" t="inlineStr">
        <is>
          <t>DISHES_DULCES</t>
        </is>
      </c>
      <c r="B23" s="6" t="inlineStr">
        <is>
          <t>TORRIJA DE CAFÉ</t>
        </is>
      </c>
      <c r="C23" s="7" t="n">
        <v>0</v>
      </c>
      <c r="D23" s="6" t="inlineStr"/>
    </row>
    <row r="24">
      <c r="A24" s="6" t="inlineStr">
        <is>
          <t>DISHES_DULCES</t>
        </is>
      </c>
      <c r="B24" s="6" t="inlineStr">
        <is>
          <t>TORRIJA KIDS</t>
        </is>
      </c>
      <c r="C24" s="7" t="n">
        <v>0</v>
      </c>
      <c r="D24" s="6" t="inlineStr"/>
    </row>
    <row r="25">
      <c r="A25" s="6" t="inlineStr">
        <is>
          <t>DISHES_BRIOCHE</t>
        </is>
      </c>
      <c r="B25" s="6" t="inlineStr">
        <is>
          <t>TORTILLA Y QUESO DE GUADARRAMA</t>
        </is>
      </c>
      <c r="C25" s="7" t="n">
        <v>0</v>
      </c>
      <c r="D25" s="6" t="inlineStr"/>
    </row>
    <row r="26">
      <c r="A26" s="6" t="inlineStr">
        <is>
          <t>DISHES_BRIOCHE</t>
        </is>
      </c>
      <c r="B26" s="6" t="inlineStr">
        <is>
          <t>PAPADA IBÉRICA</t>
        </is>
      </c>
      <c r="C26" s="7" t="n">
        <v>0</v>
      </c>
      <c r="D26" s="6" t="inlineStr"/>
    </row>
    <row r="27">
      <c r="A27" s="6" t="inlineStr">
        <is>
          <t>DISHES_BRIOCHE</t>
        </is>
      </c>
      <c r="B27" s="6" t="inlineStr">
        <is>
          <t>BIKINI</t>
        </is>
      </c>
      <c r="C27" s="7" t="n">
        <v>0</v>
      </c>
      <c r="D27" s="6" t="inlineStr"/>
    </row>
    <row r="28">
      <c r="A28" s="6" t="inlineStr">
        <is>
          <t>DISHES_BRIOCHE</t>
        </is>
      </c>
      <c r="B28" s="6" t="inlineStr">
        <is>
          <t>ROAST BEEF</t>
        </is>
      </c>
      <c r="C28" s="7" t="n">
        <v>0</v>
      </c>
      <c r="D28" s="6" t="inlineStr"/>
    </row>
    <row r="29">
      <c r="A29" s="6" t="inlineStr">
        <is>
          <t>DISHES_TARDES</t>
        </is>
      </c>
      <c r="B29" s="6" t="inlineStr">
        <is>
          <t>ANCHOAS, MANTEQUILLA, BRIOCHE (NO)</t>
        </is>
      </c>
      <c r="C29" s="7" t="n">
        <v>0</v>
      </c>
      <c r="D29" s="6" t="inlineStr"/>
    </row>
    <row r="30">
      <c r="A30" s="6" t="inlineStr">
        <is>
          <t>DISHES_TARDES</t>
        </is>
      </c>
      <c r="B30" s="6" t="inlineStr">
        <is>
          <t>TABLA DE QUESOS</t>
        </is>
      </c>
      <c r="C30" s="7" t="n">
        <v>0</v>
      </c>
      <c r="D30" s="6" t="inlineStr"/>
    </row>
    <row r="31">
      <c r="A31" s="6" t="inlineStr">
        <is>
          <t>DISHES_TARDES</t>
        </is>
      </c>
      <c r="B31" s="6" t="inlineStr">
        <is>
          <t>pincho de tortilla</t>
        </is>
      </c>
      <c r="C31" s="7" t="n">
        <v>0</v>
      </c>
      <c r="D31" s="6" t="inlineStr"/>
    </row>
    <row r="32">
      <c r="A32" s="6" t="inlineStr">
        <is>
          <t>DISHES_TARDES</t>
        </is>
      </c>
      <c r="B32" s="6" t="inlineStr">
        <is>
          <t>GILDA</t>
        </is>
      </c>
      <c r="C32" s="7" t="n">
        <v>0</v>
      </c>
      <c r="D32" s="6" t="inlineStr"/>
    </row>
    <row r="33">
      <c r="A33" s="6" t="inlineStr">
        <is>
          <t>DISHES_TARDES</t>
        </is>
      </c>
      <c r="B33" s="6" t="inlineStr">
        <is>
          <t>TOMATE CONFITADO CON ANCHOAS</t>
        </is>
      </c>
      <c r="C33" s="7" t="n">
        <v>0</v>
      </c>
      <c r="D33" s="6" t="inlineStr"/>
    </row>
    <row r="34">
      <c r="A34" s="6" t="inlineStr">
        <is>
          <t>DISHES_TARDES</t>
        </is>
      </c>
      <c r="B34" s="6" t="inlineStr">
        <is>
          <t>PISTO Y YEMA CURADA</t>
        </is>
      </c>
      <c r="C34" s="7" t="n">
        <v>0</v>
      </c>
      <c r="D34" s="6" t="inlineStr"/>
    </row>
    <row r="35">
      <c r="A35" s="6" t="inlineStr">
        <is>
          <t>DISHES_TARDES</t>
        </is>
      </c>
      <c r="B35" s="6" t="inlineStr">
        <is>
          <t>Ensalada de melocotón, tomate verde y almendra (PRIMAVERA VERANO)</t>
        </is>
      </c>
      <c r="C35" s="7" t="n">
        <v>0</v>
      </c>
      <c r="D35" s="6" t="inlineStr"/>
    </row>
    <row r="36">
      <c r="A36" s="6" t="inlineStr">
        <is>
          <t>DISHES_TARDES</t>
        </is>
      </c>
      <c r="B36" s="6" t="inlineStr">
        <is>
          <t>Ensalada de hojas amargas, queso de guadarrama y almendra tostada (OTOÑO / INVIERNO)</t>
        </is>
      </c>
      <c r="C36" s="7" t="n">
        <v>0</v>
      </c>
      <c r="D36" s="6" t="inlineStr"/>
    </row>
    <row r="37">
      <c r="A37" s="6" t="inlineStr">
        <is>
          <t>BEBIDAS_CAFÉ</t>
        </is>
      </c>
      <c r="B37" s="6" t="inlineStr">
        <is>
          <t>LATTE DE LECHE MERENGADA</t>
        </is>
      </c>
      <c r="C37" s="7" t="n">
        <v>0</v>
      </c>
      <c r="D37" s="6" t="inlineStr"/>
    </row>
    <row r="38">
      <c r="A38" s="6" t="inlineStr">
        <is>
          <t>BEBIDAS_CAFÉ</t>
        </is>
      </c>
      <c r="B38" s="6" t="inlineStr">
        <is>
          <t>SHAKERATO DE NARANJA</t>
        </is>
      </c>
      <c r="C38" s="7" t="n">
        <v>0</v>
      </c>
      <c r="D38" s="6" t="inlineStr"/>
    </row>
    <row r="39">
      <c r="A39" s="6" t="inlineStr">
        <is>
          <t>BEBIDAS_CAFÉ</t>
        </is>
      </c>
      <c r="B39" s="6" t="inlineStr">
        <is>
          <t>CAFÉ, MIEL, AOVE</t>
        </is>
      </c>
      <c r="C39" s="7" t="n">
        <v>0</v>
      </c>
      <c r="D39" s="6" t="inlineStr"/>
    </row>
    <row r="40">
      <c r="A40" s="6" t="inlineStr">
        <is>
          <t>_OBRADOR_ESCANDALLOS</t>
        </is>
      </c>
      <c r="B40" s="6" t="inlineStr">
        <is>
          <t>BRIOCHE CAFÉ</t>
        </is>
      </c>
      <c r="C40" s="7" t="n">
        <v>0</v>
      </c>
      <c r="D40" s="6" t="inlineStr"/>
    </row>
    <row r="41">
      <c r="A41" s="6" t="inlineStr">
        <is>
          <t>_OBRADOR_ESCANDALLOS</t>
        </is>
      </c>
      <c r="B41" s="6" t="inlineStr">
        <is>
          <t>BRIOCHE AVELLANAS</t>
        </is>
      </c>
      <c r="C41" s="7" t="n">
        <v>0</v>
      </c>
      <c r="D41" s="6" t="inlineStr"/>
    </row>
    <row r="42">
      <c r="A42" s="6" t="inlineStr">
        <is>
          <t>_OBRADOR_ESCANDALLOS</t>
        </is>
      </c>
      <c r="B42" s="6" t="inlineStr">
        <is>
          <t>BRIOCHE PISTACHO</t>
        </is>
      </c>
      <c r="C42" s="7" t="n">
        <v>0</v>
      </c>
      <c r="D42" s="6" t="inlineStr"/>
    </row>
    <row r="43">
      <c r="A43" s="6" t="inlineStr">
        <is>
          <t>_OBRADOR_ESCANDALLOS</t>
        </is>
      </c>
      <c r="B43" s="6" t="inlineStr">
        <is>
          <t>BRIOCHE NARANJA</t>
        </is>
      </c>
      <c r="C43" s="7" t="n">
        <v>0</v>
      </c>
      <c r="D43" s="6" t="inlineStr"/>
    </row>
    <row r="44">
      <c r="A44" s="6" t="inlineStr">
        <is>
          <t>_OBRADOR_ESCANDALLOS</t>
        </is>
      </c>
      <c r="B44" s="6" t="inlineStr">
        <is>
          <t>BRIOCHE LECHE MERENGADA</t>
        </is>
      </c>
      <c r="C44" s="7" t="n">
        <v>0</v>
      </c>
      <c r="D44" s="6" t="inlineStr"/>
    </row>
    <row r="45">
      <c r="A45" s="6" t="inlineStr">
        <is>
          <t>_OBRADOR_ESCANDALLOS</t>
        </is>
      </c>
      <c r="B45" s="6" t="inlineStr">
        <is>
          <t>BRIOCHE NATA FRESCA</t>
        </is>
      </c>
      <c r="C45" s="7" t="n">
        <v>0</v>
      </c>
      <c r="D45" s="6" t="inlineStr"/>
    </row>
    <row r="46">
      <c r="A46" s="6" t="inlineStr">
        <is>
          <t>_OBRADOR_ESCANDALLOS</t>
        </is>
      </c>
      <c r="B46" s="6" t="inlineStr">
        <is>
          <t>BRIOCHE CHOCOLATE</t>
        </is>
      </c>
      <c r="C46" s="7" t="n">
        <v>0</v>
      </c>
      <c r="D46" s="6" t="inlineStr"/>
    </row>
    <row r="47">
      <c r="A47" s="6" t="inlineStr">
        <is>
          <t>_OBRADOR_ESCANDALLOS</t>
        </is>
      </c>
      <c r="B47" s="6" t="inlineStr">
        <is>
          <t>CAKE CHOCOLATE, AOVE Y SAL</t>
        </is>
      </c>
      <c r="C47" s="7" t="n">
        <v>0</v>
      </c>
      <c r="D47" s="6" t="inlineStr"/>
    </row>
    <row r="48">
      <c r="A48" s="6" t="inlineStr">
        <is>
          <t>_OBRADOR_ESCANDALLOS</t>
        </is>
      </c>
      <c r="B48" s="6" t="inlineStr">
        <is>
          <t>CAKE NARANJA Y PISTACHO</t>
        </is>
      </c>
      <c r="C48" s="7" t="n">
        <v>0</v>
      </c>
      <c r="D48" s="6" t="inlineStr"/>
    </row>
    <row r="49">
      <c r="A49" s="6" t="inlineStr">
        <is>
          <t>_OBRADOR_ESCANDALLOS</t>
        </is>
      </c>
      <c r="B49" s="6" t="inlineStr">
        <is>
          <t>CAKE ALMENDRAS</t>
        </is>
      </c>
      <c r="C49" s="7" t="n">
        <v>0</v>
      </c>
      <c r="D49" s="6" t="inlineStr"/>
    </row>
    <row r="50">
      <c r="A50" s="6" t="inlineStr">
        <is>
          <t>_OBRADOR_ESCANDALLOS</t>
        </is>
      </c>
      <c r="B50" s="6" t="inlineStr">
        <is>
          <t>CAKE CAFÉ</t>
        </is>
      </c>
      <c r="C50" s="7" t="n">
        <v>0</v>
      </c>
      <c r="D50" s="6" t="inlineStr"/>
    </row>
    <row r="51">
      <c r="A51" s="6" t="inlineStr">
        <is>
          <t>_OBRADOR_ESCANDALLOS</t>
        </is>
      </c>
      <c r="B51" s="6" t="inlineStr">
        <is>
          <t>CAKE ZANAHORIA Y NARANJA</t>
        </is>
      </c>
      <c r="C51" s="7" t="n">
        <v>0</v>
      </c>
      <c r="D51" s="6" t="inlineStr"/>
    </row>
    <row r="52">
      <c r="A52" s="6" t="inlineStr">
        <is>
          <t>_OBRADOR_ESCANDALLOS</t>
        </is>
      </c>
      <c r="B52" s="6" t="inlineStr">
        <is>
          <t>CAKE LIMÓN Y ROMERO</t>
        </is>
      </c>
      <c r="C52" s="7" t="n">
        <v>0</v>
      </c>
      <c r="D52" s="6" t="inlineStr"/>
    </row>
    <row r="53">
      <c r="A53" s="6" t="inlineStr">
        <is>
          <t>_OBRADOR_ESCANDALLOS</t>
        </is>
      </c>
      <c r="B53" s="6" t="inlineStr">
        <is>
          <t>CAKE CHOCOLATE Y AVELLANAS</t>
        </is>
      </c>
      <c r="C53" s="7" t="n">
        <v>0</v>
      </c>
      <c r="D53" s="6" t="inlineStr"/>
    </row>
    <row r="54">
      <c r="A54" s="6" t="inlineStr">
        <is>
          <t>_OBRADOR_ESCANDALLOS</t>
        </is>
      </c>
      <c r="B54" s="6" t="inlineStr">
        <is>
          <t>BRIOCHE TRENZADO PISTACHO</t>
        </is>
      </c>
      <c r="C54" s="7" t="n">
        <v>0</v>
      </c>
      <c r="D54" s="6" t="inlineStr"/>
    </row>
    <row r="55">
      <c r="A55" s="6" t="inlineStr">
        <is>
          <t>_OBRADOR_ESCANDALLOS</t>
        </is>
      </c>
      <c r="B55" s="6" t="inlineStr">
        <is>
          <t>BRIOCHE TRENZADO CANELA Y LIMÓN</t>
        </is>
      </c>
      <c r="C55" s="7" t="n">
        <v>0</v>
      </c>
      <c r="D55" s="6" t="inlineStr"/>
    </row>
    <row r="56">
      <c r="A56" s="6" t="inlineStr">
        <is>
          <t>_OBRADOR_ESCANDALLOS</t>
        </is>
      </c>
      <c r="B56" s="6" t="inlineStr">
        <is>
          <t>BRIOCHE TRENZADO CHOCOLATE Y AVELLANAS</t>
        </is>
      </c>
      <c r="C56" s="7" t="n">
        <v>0</v>
      </c>
      <c r="D56" s="6" t="inlineStr"/>
    </row>
    <row r="57">
      <c r="A57" s="6" t="inlineStr">
        <is>
          <t>_OBRADOR_ESCANDALLOS</t>
        </is>
      </c>
      <c r="B57" s="6" t="inlineStr">
        <is>
          <t>TARTA DE QUESO DE CABRA</t>
        </is>
      </c>
      <c r="C57" s="7" t="n">
        <v>0</v>
      </c>
      <c r="D57" s="6" t="inlineStr"/>
    </row>
    <row r="58">
      <c r="A58" s="6" t="inlineStr">
        <is>
          <t>_OBRADOR_ESCANDALLOS</t>
        </is>
      </c>
      <c r="B58" s="6" t="inlineStr">
        <is>
          <t>TARTA DE QUESO LADY MADRID</t>
        </is>
      </c>
      <c r="C58" s="7" t="n">
        <v>0</v>
      </c>
      <c r="D58" s="6" t="inlineStr"/>
    </row>
    <row r="59">
      <c r="A59" s="6" t="inlineStr">
        <is>
          <t>_OBRADOR_ESCANDALLOS</t>
        </is>
      </c>
      <c r="B59" s="6" t="inlineStr">
        <is>
          <t>TARTA DE MELOCOTON Y TOMILLO</t>
        </is>
      </c>
      <c r="C59" s="7" t="n">
        <v>0</v>
      </c>
      <c r="D59" s="6" t="inlineStr"/>
    </row>
    <row r="60">
      <c r="A60" s="6" t="inlineStr">
        <is>
          <t>_OBRADOR_ESCANDALLOS</t>
        </is>
      </c>
      <c r="B60" s="6" t="inlineStr">
        <is>
          <t>TARTA DE HIGOS Y MIEL SALADA</t>
        </is>
      </c>
      <c r="C60" s="7" t="n">
        <v>0</v>
      </c>
      <c r="D60" s="6" t="inlineStr"/>
    </row>
    <row r="61">
      <c r="A61" s="6" t="inlineStr">
        <is>
          <t>_OBRADOR_ESCANDALLOS</t>
        </is>
      </c>
      <c r="B61" s="6" t="inlineStr">
        <is>
          <t>TARTA DE CEREZA Y JEREZ</t>
        </is>
      </c>
      <c r="C61" s="7" t="n">
        <v>0</v>
      </c>
      <c r="D61" s="6" t="inlineStr"/>
    </row>
    <row r="62">
      <c r="A62" s="6" t="inlineStr">
        <is>
          <t>_OBRADOR_ESCANDALLOS</t>
        </is>
      </c>
      <c r="B62" s="6" t="inlineStr">
        <is>
          <t>TARTA DE FRESA Y MENTA</t>
        </is>
      </c>
      <c r="C62" s="7" t="n">
        <v>0</v>
      </c>
      <c r="D62" s="6" t="inlineStr"/>
    </row>
    <row r="63">
      <c r="A63" s="6" t="inlineStr">
        <is>
          <t>_OBRADOR_ESCANDALLOS</t>
        </is>
      </c>
      <c r="B63" s="6" t="inlineStr">
        <is>
          <t>TARTA DE PERAS Y ALMENDRAS</t>
        </is>
      </c>
      <c r="C63" s="7" t="n">
        <v>0</v>
      </c>
      <c r="D63" s="6" t="inlineStr"/>
    </row>
    <row r="64">
      <c r="A64" s="6" t="inlineStr">
        <is>
          <t>_OBRADOR_ESCANDALLOS</t>
        </is>
      </c>
      <c r="B64" s="6" t="inlineStr">
        <is>
          <t>TARTA DE QUESO LADY MADRID 4-450 (1)</t>
        </is>
      </c>
      <c r="C64" s="7" t="n">
        <v>0</v>
      </c>
      <c r="D64" s="6" t="inlineStr"/>
    </row>
    <row r="65">
      <c r="A65" s="6" t="inlineStr">
        <is>
          <t>_OBRADOR_ESCANDALLOS</t>
        </is>
      </c>
      <c r="B65" s="6" t="inlineStr">
        <is>
          <t>TARTA DE QUESO LADY MADRID 4-450 SIN BASE</t>
        </is>
      </c>
      <c r="C65" s="7" t="n">
        <v>0</v>
      </c>
      <c r="D65" s="6" t="inlineStr"/>
    </row>
    <row r="66">
      <c r="A66" s="6" t="inlineStr">
        <is>
          <t>BEBIDAS_OTRAS</t>
        </is>
      </c>
      <c r="B66" s="6" t="inlineStr">
        <is>
          <t>AGUA CON GAS</t>
        </is>
      </c>
      <c r="C66" s="7" t="n">
        <v>0</v>
      </c>
      <c r="D66" s="6" t="inlineStr">
        <is>
          <t>EJEMPLO — sustituir por la carta real de bebidas de Lady Madrid (confirmar con cocina/sala)</t>
        </is>
      </c>
    </row>
    <row r="67">
      <c r="A67" s="6" t="inlineStr">
        <is>
          <t>BEBIDAS_OTRAS</t>
        </is>
      </c>
      <c r="B67" s="6" t="inlineStr">
        <is>
          <t>AGUA SIN GAS</t>
        </is>
      </c>
      <c r="C67" s="7" t="n">
        <v>0</v>
      </c>
      <c r="D67" s="6" t="inlineStr">
        <is>
          <t>EJEMPLO — sustituir por la carta real de bebidas de Lady Madrid (confirmar con cocina/sala)</t>
        </is>
      </c>
    </row>
    <row r="68">
      <c r="A68" s="6" t="inlineStr">
        <is>
          <t>BEBIDAS_OTRAS</t>
        </is>
      </c>
      <c r="B68" s="6" t="inlineStr">
        <is>
          <t>REFRESCO DE COLA</t>
        </is>
      </c>
      <c r="C68" s="7" t="n">
        <v>0</v>
      </c>
      <c r="D68" s="6" t="inlineStr">
        <is>
          <t>EJEMPLO — sustituir por la carta real de bebidas de Lady Madrid (confirmar con cocina/sala)</t>
        </is>
      </c>
    </row>
    <row r="69">
      <c r="A69" s="6" t="inlineStr">
        <is>
          <t>BEBIDAS_OTRAS</t>
        </is>
      </c>
      <c r="B69" s="6" t="inlineStr">
        <is>
          <t>REFRESCO DE COLA ZERO</t>
        </is>
      </c>
      <c r="C69" s="7" t="n">
        <v>0</v>
      </c>
      <c r="D69" s="6" t="inlineStr">
        <is>
          <t>EJEMPLO — sustituir por la carta real de bebidas de Lady Madrid (confirmar con cocina/sala)</t>
        </is>
      </c>
    </row>
    <row r="70">
      <c r="A70" s="6" t="inlineStr">
        <is>
          <t>BEBIDAS_OTRAS</t>
        </is>
      </c>
      <c r="B70" s="6" t="inlineStr">
        <is>
          <t>ZUMO DE NARANJA NATURAL</t>
        </is>
      </c>
      <c r="C70" s="7" t="n">
        <v>0</v>
      </c>
      <c r="D70" s="6" t="inlineStr">
        <is>
          <t>EJEMPLO — sustituir por la carta real de bebidas de Lady Madrid (confirmar con cocina/sala)</t>
        </is>
      </c>
    </row>
    <row r="71">
      <c r="A71" s="6" t="inlineStr">
        <is>
          <t>BEBIDAS_OTRAS</t>
        </is>
      </c>
      <c r="B71" s="6" t="inlineStr">
        <is>
          <t>CERVEZA BOTELLÍN</t>
        </is>
      </c>
      <c r="C71" s="7" t="n">
        <v>0</v>
      </c>
      <c r="D71" s="6" t="inlineStr">
        <is>
          <t>EJEMPLO — sustituir por la carta real de bebidas de Lady Madrid (confirmar con cocina/sala)</t>
        </is>
      </c>
    </row>
    <row r="72">
      <c r="A72" s="6" t="inlineStr">
        <is>
          <t>BEBIDAS_OTRAS</t>
        </is>
      </c>
      <c r="B72" s="6" t="inlineStr">
        <is>
          <t>COPA DE VINO</t>
        </is>
      </c>
      <c r="C72" s="7" t="n">
        <v>0</v>
      </c>
      <c r="D72" s="6" t="inlineStr">
        <is>
          <t>EJEMPLO — sustituir por la carta real de bebidas de Lady Madrid (confirmar con cocina/sala)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16" customWidth="1" min="4" max="4"/>
    <col width="10" customWidth="1" min="5" max="5"/>
    <col width="20" customWidth="1" min="6" max="6"/>
    <col width="18" customWidth="1" min="7" max="7"/>
  </cols>
  <sheetData>
    <row r="1">
      <c r="A1" s="4" t="inlineStr">
        <is>
          <t>Escandallos — extracción real de Escandallos_LadyMadrid.xlsx</t>
        </is>
      </c>
    </row>
    <row r="3" ht="30" customHeight="1">
      <c r="A3" s="8" t="inlineStr">
        <is>
          <t>Categoría</t>
        </is>
      </c>
      <c r="B3" s="8" t="inlineStr">
        <is>
          <t>Plato / Producto</t>
        </is>
      </c>
      <c r="C3" s="8" t="inlineStr">
        <is>
          <t>Ingrediente</t>
        </is>
      </c>
      <c r="D3" s="8" t="inlineStr">
        <is>
          <t>Cantidad por unidad</t>
        </is>
      </c>
      <c r="E3" s="8" t="inlineStr">
        <is>
          <t>Unidad</t>
        </is>
      </c>
      <c r="F3" s="8" t="inlineStr">
        <is>
          <t>Unidades vendidas (mes)</t>
        </is>
      </c>
      <c r="G3" s="8" t="inlineStr">
        <is>
          <t>Consumo total del mes</t>
        </is>
      </c>
    </row>
    <row r="4">
      <c r="A4" s="6" t="inlineStr">
        <is>
          <t>DISHES_TOSTADAS</t>
        </is>
      </c>
      <c r="B4" s="6" t="inlineStr">
        <is>
          <t>TOSTADA DE JAMÓN IBÉRICO</t>
        </is>
      </c>
      <c r="C4" s="6" t="inlineStr">
        <is>
          <t>Pan de masa madre</t>
        </is>
      </c>
      <c r="D4" s="9" t="n">
        <v>1</v>
      </c>
      <c r="E4" s="6" t="inlineStr">
        <is>
          <t>KG</t>
        </is>
      </c>
      <c r="F4" s="6">
        <f>IFERROR(SUMPRODUCT(('Ventas del mes'!$A$4:$A$72=A4)*('Ventas del mes'!$B$4:$B$72=B4)*'Ventas del mes'!$C$4:$C$72),0)</f>
        <v/>
      </c>
      <c r="G4" s="9">
        <f>D4*F4</f>
        <v/>
      </c>
    </row>
    <row r="5">
      <c r="A5" s="6" t="inlineStr">
        <is>
          <t>DISHES_TOSTADAS</t>
        </is>
      </c>
      <c r="B5" s="6" t="inlineStr">
        <is>
          <t>TOSTADA DE JAMÓN IBÉRICO</t>
        </is>
      </c>
      <c r="C5" s="6" t="inlineStr">
        <is>
          <t>Aguacate laminado</t>
        </is>
      </c>
      <c r="D5" s="9" t="n">
        <v>0.065</v>
      </c>
      <c r="E5" s="6" t="inlineStr">
        <is>
          <t>KG</t>
        </is>
      </c>
      <c r="F5" s="6">
        <f>IFERROR(SUMPRODUCT(('Ventas del mes'!$A$4:$A$72=A5)*('Ventas del mes'!$B$4:$B$72=B5)*'Ventas del mes'!$C$4:$C$72),0)</f>
        <v/>
      </c>
      <c r="G5" s="9">
        <f>D5*F5</f>
        <v/>
      </c>
    </row>
    <row r="6">
      <c r="A6" s="6" t="inlineStr">
        <is>
          <t>DISHES_TOSTADAS</t>
        </is>
      </c>
      <c r="B6" s="6" t="inlineStr">
        <is>
          <t>TOSTADA DE JAMÓN IBÉRICO</t>
        </is>
      </c>
      <c r="C6" s="6" t="inlineStr">
        <is>
          <t>Jamón ibérico</t>
        </is>
      </c>
      <c r="D6" s="9" t="n">
        <v>0.025</v>
      </c>
      <c r="E6" s="6" t="inlineStr">
        <is>
          <t>KG</t>
        </is>
      </c>
      <c r="F6" s="6">
        <f>IFERROR(SUMPRODUCT(('Ventas del mes'!$A$4:$A$72=A6)*('Ventas del mes'!$B$4:$B$72=B6)*'Ventas del mes'!$C$4:$C$72),0)</f>
        <v/>
      </c>
      <c r="G6" s="9">
        <f>D6*F6</f>
        <v/>
      </c>
    </row>
    <row r="7">
      <c r="A7" s="6" t="inlineStr">
        <is>
          <t>DISHES_TOSTADAS</t>
        </is>
      </c>
      <c r="B7" s="6" t="inlineStr">
        <is>
          <t>TOSTADA DE JAMÓN IBÉRICO</t>
        </is>
      </c>
      <c r="C7" s="6" t="inlineStr">
        <is>
          <t>Mix de semillas</t>
        </is>
      </c>
      <c r="D7" s="9" t="n">
        <v>0.003</v>
      </c>
      <c r="E7" s="6" t="inlineStr">
        <is>
          <t>KG</t>
        </is>
      </c>
      <c r="F7" s="6">
        <f>IFERROR(SUMPRODUCT(('Ventas del mes'!$A$4:$A$72=A7)*('Ventas del mes'!$B$4:$B$72=B7)*'Ventas del mes'!$C$4:$C$72),0)</f>
        <v/>
      </c>
      <c r="G7" s="9">
        <f>D7*F7</f>
        <v/>
      </c>
    </row>
    <row r="8">
      <c r="A8" s="6" t="inlineStr">
        <is>
          <t>DISHES_TOSTADAS</t>
        </is>
      </c>
      <c r="B8" s="6" t="inlineStr">
        <is>
          <t>TOSTADA DE JAMÓN IBÉRICO</t>
        </is>
      </c>
      <c r="C8" s="6" t="inlineStr">
        <is>
          <t>Germinados</t>
        </is>
      </c>
      <c r="D8" s="9" t="n">
        <v>0.002</v>
      </c>
      <c r="E8" s="6" t="inlineStr">
        <is>
          <t>KG</t>
        </is>
      </c>
      <c r="F8" s="6">
        <f>IFERROR(SUMPRODUCT(('Ventas del mes'!$A$4:$A$72=A8)*('Ventas del mes'!$B$4:$B$72=B8)*'Ventas del mes'!$C$4:$C$72),0)</f>
        <v/>
      </c>
      <c r="G8" s="9">
        <f>D8*F8</f>
        <v/>
      </c>
    </row>
    <row r="9">
      <c r="A9" s="6" t="inlineStr">
        <is>
          <t>DISHES_TOSTADAS</t>
        </is>
      </c>
      <c r="B9" s="6" t="inlineStr">
        <is>
          <t>TOSTADA DE JAMÓN IBÉRICO</t>
        </is>
      </c>
      <c r="C9" s="6" t="inlineStr">
        <is>
          <t>AOVE</t>
        </is>
      </c>
      <c r="D9" s="9" t="n">
        <v>0.005</v>
      </c>
      <c r="E9" s="6" t="inlineStr">
        <is>
          <t>KG</t>
        </is>
      </c>
      <c r="F9" s="6">
        <f>IFERROR(SUMPRODUCT(('Ventas del mes'!$A$4:$A$72=A9)*('Ventas del mes'!$B$4:$B$72=B9)*'Ventas del mes'!$C$4:$C$72),0)</f>
        <v/>
      </c>
      <c r="G9" s="9">
        <f>D9*F9</f>
        <v/>
      </c>
    </row>
    <row r="10">
      <c r="A10" s="6" t="inlineStr">
        <is>
          <t>DISHES_TOSTADAS</t>
        </is>
      </c>
      <c r="B10" s="6" t="inlineStr">
        <is>
          <t>TOSTADA DE JAMÓN IBÉRICO</t>
        </is>
      </c>
      <c r="C10" s="6" t="inlineStr">
        <is>
          <t>Escamas de sal</t>
        </is>
      </c>
      <c r="D10" s="9" t="n">
        <v>0.001</v>
      </c>
      <c r="E10" s="6" t="inlineStr">
        <is>
          <t>KG</t>
        </is>
      </c>
      <c r="F10" s="6">
        <f>IFERROR(SUMPRODUCT(('Ventas del mes'!$A$4:$A$72=A10)*('Ventas del mes'!$B$4:$B$72=B10)*'Ventas del mes'!$C$4:$C$72),0)</f>
        <v/>
      </c>
      <c r="G10" s="9">
        <f>D10*F10</f>
        <v/>
      </c>
    </row>
    <row r="11">
      <c r="A11" s="6" t="inlineStr">
        <is>
          <t>DISHES_TOSTADAS</t>
        </is>
      </c>
      <c r="B11" s="6" t="inlineStr">
        <is>
          <t>TOSTADA DE JAMÓN IBÉRICO</t>
        </is>
      </c>
      <c r="C11" s="6" t="inlineStr">
        <is>
          <t>Tomate</t>
        </is>
      </c>
      <c r="D11" s="9" t="n">
        <v>0.01</v>
      </c>
      <c r="E11" s="6" t="inlineStr">
        <is>
          <t>KG</t>
        </is>
      </c>
      <c r="F11" s="6">
        <f>IFERROR(SUMPRODUCT(('Ventas del mes'!$A$4:$A$72=A11)*('Ventas del mes'!$B$4:$B$72=B11)*'Ventas del mes'!$C$4:$C$72),0)</f>
        <v/>
      </c>
      <c r="G11" s="9">
        <f>D11*F11</f>
        <v/>
      </c>
    </row>
    <row r="12">
      <c r="A12" s="6" t="inlineStr">
        <is>
          <t>DISHES_TOSTADAS</t>
        </is>
      </c>
      <c r="B12" s="6" t="inlineStr">
        <is>
          <t>TOSTADA DE JAMÓN IBÉRICO</t>
        </is>
      </c>
      <c r="C12" s="6" t="inlineStr">
        <is>
          <t>Huevo pochado (opcional)</t>
        </is>
      </c>
      <c r="D12" s="9" t="n">
        <v>1</v>
      </c>
      <c r="E12" s="6" t="inlineStr">
        <is>
          <t>UD</t>
        </is>
      </c>
      <c r="F12" s="6">
        <f>IFERROR(SUMPRODUCT(('Ventas del mes'!$A$4:$A$72=A12)*('Ventas del mes'!$B$4:$B$72=B12)*'Ventas del mes'!$C$4:$C$72),0)</f>
        <v/>
      </c>
      <c r="G12" s="9">
        <f>D12*F12</f>
        <v/>
      </c>
    </row>
    <row r="13">
      <c r="A13" s="6" t="inlineStr">
        <is>
          <t>DISHES_TOSTADAS</t>
        </is>
      </c>
      <c r="B13" s="6" t="inlineStr">
        <is>
          <t>TOSTADA DE AGUACATE</t>
        </is>
      </c>
      <c r="C13" s="6" t="inlineStr">
        <is>
          <t>Pan de masa madre</t>
        </is>
      </c>
      <c r="D13" s="9" t="n">
        <v>0.09</v>
      </c>
      <c r="E13" s="6" t="inlineStr">
        <is>
          <t>KG</t>
        </is>
      </c>
      <c r="F13" s="6">
        <f>IFERROR(SUMPRODUCT(('Ventas del mes'!$A$4:$A$72=A13)*('Ventas del mes'!$B$4:$B$72=B13)*'Ventas del mes'!$C$4:$C$72),0)</f>
        <v/>
      </c>
      <c r="G13" s="9">
        <f>D13*F13</f>
        <v/>
      </c>
    </row>
    <row r="14">
      <c r="A14" s="6" t="inlineStr">
        <is>
          <t>DISHES_TOSTADAS</t>
        </is>
      </c>
      <c r="B14" s="6" t="inlineStr">
        <is>
          <t>TOSTADA DE AGUACATE</t>
        </is>
      </c>
      <c r="C14" s="6" t="inlineStr">
        <is>
          <t>Aguacate laminado</t>
        </is>
      </c>
      <c r="D14" s="9" t="n">
        <v>0.07000000000000001</v>
      </c>
      <c r="E14" s="6" t="inlineStr">
        <is>
          <t>KG</t>
        </is>
      </c>
      <c r="F14" s="6">
        <f>IFERROR(SUMPRODUCT(('Ventas del mes'!$A$4:$A$72=A14)*('Ventas del mes'!$B$4:$B$72=B14)*'Ventas del mes'!$C$4:$C$72),0)</f>
        <v/>
      </c>
      <c r="G14" s="9">
        <f>D14*F14</f>
        <v/>
      </c>
    </row>
    <row r="15">
      <c r="A15" s="6" t="inlineStr">
        <is>
          <t>DISHES_TOSTADAS</t>
        </is>
      </c>
      <c r="B15" s="6" t="inlineStr">
        <is>
          <t>TOSTADA DE AGUACATE</t>
        </is>
      </c>
      <c r="C15" s="6" t="inlineStr">
        <is>
          <t>Rabanos laminados</t>
        </is>
      </c>
      <c r="D15" s="9" t="n">
        <v>0.001</v>
      </c>
      <c r="E15" s="6" t="inlineStr">
        <is>
          <t>KG</t>
        </is>
      </c>
      <c r="F15" s="6">
        <f>IFERROR(SUMPRODUCT(('Ventas del mes'!$A$4:$A$72=A15)*('Ventas del mes'!$B$4:$B$72=B15)*'Ventas del mes'!$C$4:$C$72),0)</f>
        <v/>
      </c>
      <c r="G15" s="9">
        <f>D15*F15</f>
        <v/>
      </c>
    </row>
    <row r="16">
      <c r="A16" s="6" t="inlineStr">
        <is>
          <t>DISHES_TOSTADAS</t>
        </is>
      </c>
      <c r="B16" s="6" t="inlineStr">
        <is>
          <t>TOSTADA DE AGUACATE</t>
        </is>
      </c>
      <c r="C16" s="6" t="inlineStr">
        <is>
          <t>Huevo pochado</t>
        </is>
      </c>
      <c r="D16" s="9" t="n">
        <v>1</v>
      </c>
      <c r="E16" s="6" t="inlineStr">
        <is>
          <t>UD</t>
        </is>
      </c>
      <c r="F16" s="6">
        <f>IFERROR(SUMPRODUCT(('Ventas del mes'!$A$4:$A$72=A16)*('Ventas del mes'!$B$4:$B$72=B16)*'Ventas del mes'!$C$4:$C$72),0)</f>
        <v/>
      </c>
      <c r="G16" s="9">
        <f>D16*F16</f>
        <v/>
      </c>
    </row>
    <row r="17">
      <c r="A17" s="6" t="inlineStr">
        <is>
          <t>DISHES_TOSTADAS</t>
        </is>
      </c>
      <c r="B17" s="6" t="inlineStr">
        <is>
          <t>TOSTADA DE AGUACATE</t>
        </is>
      </c>
      <c r="C17" s="6" t="inlineStr">
        <is>
          <t>Mix de semillas</t>
        </is>
      </c>
      <c r="D17" s="9" t="n">
        <v>0.003</v>
      </c>
      <c r="E17" s="6" t="inlineStr">
        <is>
          <t>KG</t>
        </is>
      </c>
      <c r="F17" s="6">
        <f>IFERROR(SUMPRODUCT(('Ventas del mes'!$A$4:$A$72=A17)*('Ventas del mes'!$B$4:$B$72=B17)*'Ventas del mes'!$C$4:$C$72),0)</f>
        <v/>
      </c>
      <c r="G17" s="9">
        <f>D17*F17</f>
        <v/>
      </c>
    </row>
    <row r="18">
      <c r="A18" s="6" t="inlineStr">
        <is>
          <t>DISHES_TOSTADAS</t>
        </is>
      </c>
      <c r="B18" s="6" t="inlineStr">
        <is>
          <t>TOSTADA DE AGUACATE</t>
        </is>
      </c>
      <c r="C18" s="6" t="inlineStr">
        <is>
          <t>Chili flakes</t>
        </is>
      </c>
      <c r="D18" s="9" t="n">
        <v>0.005</v>
      </c>
      <c r="E18" s="6" t="inlineStr">
        <is>
          <t>KG</t>
        </is>
      </c>
      <c r="F18" s="6">
        <f>IFERROR(SUMPRODUCT(('Ventas del mes'!$A$4:$A$72=A18)*('Ventas del mes'!$B$4:$B$72=B18)*'Ventas del mes'!$C$4:$C$72),0)</f>
        <v/>
      </c>
      <c r="G18" s="9">
        <f>D18*F18</f>
        <v/>
      </c>
    </row>
    <row r="19">
      <c r="A19" s="6" t="inlineStr">
        <is>
          <t>DISHES_TOSTADAS</t>
        </is>
      </c>
      <c r="B19" s="6" t="inlineStr">
        <is>
          <t>TOSTADA DE AGUACATE</t>
        </is>
      </c>
      <c r="C19" s="6" t="inlineStr">
        <is>
          <t>AOVE</t>
        </is>
      </c>
      <c r="D19" s="9" t="n">
        <v>0.005</v>
      </c>
      <c r="E19" s="6" t="inlineStr">
        <is>
          <t>ML</t>
        </is>
      </c>
      <c r="F19" s="6">
        <f>IFERROR(SUMPRODUCT(('Ventas del mes'!$A$4:$A$72=A19)*('Ventas del mes'!$B$4:$B$72=B19)*'Ventas del mes'!$C$4:$C$72),0)</f>
        <v/>
      </c>
      <c r="G19" s="9">
        <f>D19*F19</f>
        <v/>
      </c>
    </row>
    <row r="20">
      <c r="A20" s="6" t="inlineStr">
        <is>
          <t>DISHES_TOSTADAS</t>
        </is>
      </c>
      <c r="B20" s="6" t="inlineStr">
        <is>
          <t>TOSTADA DE AGUACATE</t>
        </is>
      </c>
      <c r="C20" s="6" t="inlineStr">
        <is>
          <t>Escamas de sal</t>
        </is>
      </c>
      <c r="D20" s="9" t="n">
        <v>0.001</v>
      </c>
      <c r="E20" s="6" t="inlineStr">
        <is>
          <t>GR</t>
        </is>
      </c>
      <c r="F20" s="6">
        <f>IFERROR(SUMPRODUCT(('Ventas del mes'!$A$4:$A$72=A20)*('Ventas del mes'!$B$4:$B$72=B20)*'Ventas del mes'!$C$4:$C$72),0)</f>
        <v/>
      </c>
      <c r="G20" s="9">
        <f>D20*F20</f>
        <v/>
      </c>
    </row>
    <row r="21">
      <c r="A21" s="6" t="inlineStr">
        <is>
          <t>DISHES_TOSTADAS</t>
        </is>
      </c>
      <c r="B21" s="6" t="inlineStr">
        <is>
          <t>TOMATE, AOVE, SAL</t>
        </is>
      </c>
      <c r="C21" s="6" t="inlineStr">
        <is>
          <t>Pan de masa madre</t>
        </is>
      </c>
      <c r="D21" s="9" t="n">
        <v>1</v>
      </c>
      <c r="E21" s="6" t="inlineStr">
        <is>
          <t>KG</t>
        </is>
      </c>
      <c r="F21" s="6">
        <f>IFERROR(SUMPRODUCT(('Ventas del mes'!$A$4:$A$72=A21)*('Ventas del mes'!$B$4:$B$72=B21)*'Ventas del mes'!$C$4:$C$72),0)</f>
        <v/>
      </c>
      <c r="G21" s="9">
        <f>D21*F21</f>
        <v/>
      </c>
    </row>
    <row r="22">
      <c r="A22" s="6" t="inlineStr">
        <is>
          <t>DISHES_TOSTADAS</t>
        </is>
      </c>
      <c r="B22" s="6" t="inlineStr">
        <is>
          <t>TOMATE, AOVE, SAL</t>
        </is>
      </c>
      <c r="C22" s="6" t="inlineStr">
        <is>
          <t>Tomate rallado</t>
        </is>
      </c>
      <c r="D22" s="9" t="n">
        <v>0.06</v>
      </c>
      <c r="E22" s="6" t="inlineStr">
        <is>
          <t>KG</t>
        </is>
      </c>
      <c r="F22" s="6">
        <f>IFERROR(SUMPRODUCT(('Ventas del mes'!$A$4:$A$72=A22)*('Ventas del mes'!$B$4:$B$72=B22)*'Ventas del mes'!$C$4:$C$72),0)</f>
        <v/>
      </c>
      <c r="G22" s="9">
        <f>D22*F22</f>
        <v/>
      </c>
    </row>
    <row r="23">
      <c r="A23" s="6" t="inlineStr">
        <is>
          <t>DISHES_TOSTADAS</t>
        </is>
      </c>
      <c r="B23" s="6" t="inlineStr">
        <is>
          <t>TOMATE, AOVE, SAL</t>
        </is>
      </c>
      <c r="C23" s="6" t="inlineStr">
        <is>
          <t>AOVE</t>
        </is>
      </c>
      <c r="D23" s="9" t="n">
        <v>0.006</v>
      </c>
      <c r="E23" s="6" t="inlineStr">
        <is>
          <t>L</t>
        </is>
      </c>
      <c r="F23" s="6">
        <f>IFERROR(SUMPRODUCT(('Ventas del mes'!$A$4:$A$72=A23)*('Ventas del mes'!$B$4:$B$72=B23)*'Ventas del mes'!$C$4:$C$72),0)</f>
        <v/>
      </c>
      <c r="G23" s="9">
        <f>D23*F23</f>
        <v/>
      </c>
    </row>
    <row r="24">
      <c r="A24" s="6" t="inlineStr">
        <is>
          <t>DISHES_TOSTADAS</t>
        </is>
      </c>
      <c r="B24" s="6" t="inlineStr">
        <is>
          <t>TOMATE, AOVE, SAL</t>
        </is>
      </c>
      <c r="C24" s="6" t="inlineStr">
        <is>
          <t>Escamas de sal</t>
        </is>
      </c>
      <c r="D24" s="9" t="n">
        <v>0.003</v>
      </c>
      <c r="E24" s="6" t="inlineStr">
        <is>
          <t>KG</t>
        </is>
      </c>
      <c r="F24" s="6">
        <f>IFERROR(SUMPRODUCT(('Ventas del mes'!$A$4:$A$72=A24)*('Ventas del mes'!$B$4:$B$72=B24)*'Ventas del mes'!$C$4:$C$72),0)</f>
        <v/>
      </c>
      <c r="G24" s="9">
        <f>D24*F24</f>
        <v/>
      </c>
    </row>
    <row r="25">
      <c r="A25" s="6" t="inlineStr">
        <is>
          <t>DISHES_TOSTADAS</t>
        </is>
      </c>
      <c r="B25" s="6" t="inlineStr">
        <is>
          <t>TOMATE, AOVE, SAL</t>
        </is>
      </c>
      <c r="C25" s="6" t="inlineStr">
        <is>
          <t>Huevo revuelto (opcional)</t>
        </is>
      </c>
      <c r="D25" s="9" t="n">
        <v>1</v>
      </c>
      <c r="E25" s="6" t="inlineStr">
        <is>
          <t>UD</t>
        </is>
      </c>
      <c r="F25" s="6">
        <f>IFERROR(SUMPRODUCT(('Ventas del mes'!$A$4:$A$72=A25)*('Ventas del mes'!$B$4:$B$72=B25)*'Ventas del mes'!$C$4:$C$72),0)</f>
        <v/>
      </c>
      <c r="G25" s="9">
        <f>D25*F25</f>
        <v/>
      </c>
    </row>
    <row r="26">
      <c r="A26" s="6" t="inlineStr">
        <is>
          <t>DISHES_TOSTADAS</t>
        </is>
      </c>
      <c r="B26" s="6" t="inlineStr">
        <is>
          <t>TOMATE, AOVE, SAL</t>
        </is>
      </c>
      <c r="C26" s="6" t="inlineStr">
        <is>
          <t>Jamón Ibérico (Opcional)</t>
        </is>
      </c>
      <c r="D26" s="9" t="n">
        <v>0.025</v>
      </c>
      <c r="E26" s="6" t="inlineStr">
        <is>
          <t>KG</t>
        </is>
      </c>
      <c r="F26" s="6">
        <f>IFERROR(SUMPRODUCT(('Ventas del mes'!$A$4:$A$72=A26)*('Ventas del mes'!$B$4:$B$72=B26)*'Ventas del mes'!$C$4:$C$72),0)</f>
        <v/>
      </c>
      <c r="G26" s="9">
        <f>D26*F26</f>
        <v/>
      </c>
    </row>
    <row r="27">
      <c r="A27" s="6" t="inlineStr">
        <is>
          <t>DISHES_TOSTADAS</t>
        </is>
      </c>
      <c r="B27" s="6" t="inlineStr">
        <is>
          <t>TOMATE, AOVE, SAL</t>
        </is>
      </c>
      <c r="C27" s="6" t="inlineStr">
        <is>
          <t>Queso de la sierra guadarrama (opcional)</t>
        </is>
      </c>
      <c r="D27" s="9" t="n">
        <v>0.025</v>
      </c>
      <c r="E27" s="6" t="inlineStr">
        <is>
          <t>KG</t>
        </is>
      </c>
      <c r="F27" s="6">
        <f>IFERROR(SUMPRODUCT(('Ventas del mes'!$A$4:$A$72=A27)*('Ventas del mes'!$B$4:$B$72=B27)*'Ventas del mes'!$C$4:$C$72),0)</f>
        <v/>
      </c>
      <c r="G27" s="9">
        <f>D27*F27</f>
        <v/>
      </c>
    </row>
    <row r="28">
      <c r="A28" s="6" t="inlineStr">
        <is>
          <t>DISHES_TOSTADAS</t>
        </is>
      </c>
      <c r="B28" s="6" t="inlineStr">
        <is>
          <t>MANTEQUILLA BATIDA Y MERMELADA</t>
        </is>
      </c>
      <c r="C28" s="6" t="inlineStr">
        <is>
          <t>Pan de masa madre</t>
        </is>
      </c>
      <c r="D28" s="9" t="n">
        <v>1</v>
      </c>
      <c r="E28" s="6" t="inlineStr">
        <is>
          <t>KG</t>
        </is>
      </c>
      <c r="F28" s="6">
        <f>IFERROR(SUMPRODUCT(('Ventas del mes'!$A$4:$A$72=A28)*('Ventas del mes'!$B$4:$B$72=B28)*'Ventas del mes'!$C$4:$C$72),0)</f>
        <v/>
      </c>
      <c r="G28" s="9">
        <f>D28*F28</f>
        <v/>
      </c>
    </row>
    <row r="29">
      <c r="A29" s="6" t="inlineStr">
        <is>
          <t>DISHES_TOSTADAS</t>
        </is>
      </c>
      <c r="B29" s="6" t="inlineStr">
        <is>
          <t>MANTEQUILLA BATIDA Y MERMELADA</t>
        </is>
      </c>
      <c r="C29" s="6" t="inlineStr">
        <is>
          <t>Mantequilla batida</t>
        </is>
      </c>
      <c r="D29" s="9" t="n">
        <v>0.02</v>
      </c>
      <c r="E29" s="6" t="inlineStr">
        <is>
          <t>KG</t>
        </is>
      </c>
      <c r="F29" s="6">
        <f>IFERROR(SUMPRODUCT(('Ventas del mes'!$A$4:$A$72=A29)*('Ventas del mes'!$B$4:$B$72=B29)*'Ventas del mes'!$C$4:$C$72),0)</f>
        <v/>
      </c>
      <c r="G29" s="9">
        <f>D29*F29</f>
        <v/>
      </c>
    </row>
    <row r="30">
      <c r="A30" s="6" t="inlineStr">
        <is>
          <t>DISHES_TOSTADAS</t>
        </is>
      </c>
      <c r="B30" s="6" t="inlineStr">
        <is>
          <t>MANTEQUILLA BATIDA Y MERMELADA</t>
        </is>
      </c>
      <c r="C30" s="6" t="inlineStr">
        <is>
          <t>Mermelada de miel y limón O Naranja</t>
        </is>
      </c>
      <c r="D30" s="9" t="n">
        <v>0.015</v>
      </c>
      <c r="E30" s="6" t="inlineStr">
        <is>
          <t>KG</t>
        </is>
      </c>
      <c r="F30" s="6">
        <f>IFERROR(SUMPRODUCT(('Ventas del mes'!$A$4:$A$72=A30)*('Ventas del mes'!$B$4:$B$72=B30)*'Ventas del mes'!$C$4:$C$72),0)</f>
        <v/>
      </c>
      <c r="G30" s="9">
        <f>D30*F30</f>
        <v/>
      </c>
    </row>
    <row r="31">
      <c r="A31" s="6" t="inlineStr">
        <is>
          <t>DISHES_TOSTADAS</t>
        </is>
      </c>
      <c r="B31" s="6" t="inlineStr">
        <is>
          <t>MANTEQUILLA BATIDA Y MERMELADA</t>
        </is>
      </c>
      <c r="C31" s="6" t="inlineStr">
        <is>
          <t>Ralladura de limón o Naranja</t>
        </is>
      </c>
      <c r="D31" s="9" t="n">
        <v>0.002</v>
      </c>
      <c r="E31" s="6" t="inlineStr">
        <is>
          <t>KG</t>
        </is>
      </c>
      <c r="F31" s="6">
        <f>IFERROR(SUMPRODUCT(('Ventas del mes'!$A$4:$A$72=A31)*('Ventas del mes'!$B$4:$B$72=B31)*'Ventas del mes'!$C$4:$C$72),0)</f>
        <v/>
      </c>
      <c r="G31" s="9">
        <f>D31*F31</f>
        <v/>
      </c>
    </row>
    <row r="32">
      <c r="A32" s="6" t="inlineStr">
        <is>
          <t>DISHES_TOSTADAS</t>
        </is>
      </c>
      <c r="B32" s="6" t="inlineStr">
        <is>
          <t>SALMÓN AHUMADO</t>
        </is>
      </c>
      <c r="C32" s="6" t="inlineStr">
        <is>
          <t>Pan de masa madre</t>
        </is>
      </c>
      <c r="D32" s="9" t="n">
        <v>1</v>
      </c>
      <c r="E32" s="6" t="inlineStr">
        <is>
          <t>KG</t>
        </is>
      </c>
      <c r="F32" s="6">
        <f>IFERROR(SUMPRODUCT(('Ventas del mes'!$A$4:$A$72=A32)*('Ventas del mes'!$B$4:$B$72=B32)*'Ventas del mes'!$C$4:$C$72),0)</f>
        <v/>
      </c>
      <c r="G32" s="9">
        <f>D32*F32</f>
        <v/>
      </c>
    </row>
    <row r="33">
      <c r="A33" s="6" t="inlineStr">
        <is>
          <t>DISHES_TOSTADAS</t>
        </is>
      </c>
      <c r="B33" s="6" t="inlineStr">
        <is>
          <t>SALMÓN AHUMADO</t>
        </is>
      </c>
      <c r="C33" s="6" t="inlineStr">
        <is>
          <t>Mantequilla batida</t>
        </is>
      </c>
      <c r="D33" s="9" t="n">
        <v>0.02</v>
      </c>
      <c r="E33" s="6" t="inlineStr">
        <is>
          <t>KG</t>
        </is>
      </c>
      <c r="F33" s="6">
        <f>IFERROR(SUMPRODUCT(('Ventas del mes'!$A$4:$A$72=A33)*('Ventas del mes'!$B$4:$B$72=B33)*'Ventas del mes'!$C$4:$C$72),0)</f>
        <v/>
      </c>
      <c r="G33" s="9">
        <f>D33*F33</f>
        <v/>
      </c>
    </row>
    <row r="34">
      <c r="A34" s="6" t="inlineStr">
        <is>
          <t>DISHES_TOSTADAS</t>
        </is>
      </c>
      <c r="B34" s="6" t="inlineStr">
        <is>
          <t>SALMÓN AHUMADO</t>
        </is>
      </c>
      <c r="C34" s="6" t="inlineStr">
        <is>
          <t>Salmon ahumado</t>
        </is>
      </c>
      <c r="D34" s="9" t="n">
        <v>0.05</v>
      </c>
      <c r="E34" s="6" t="inlineStr">
        <is>
          <t>L</t>
        </is>
      </c>
      <c r="F34" s="6">
        <f>IFERROR(SUMPRODUCT(('Ventas del mes'!$A$4:$A$72=A34)*('Ventas del mes'!$B$4:$B$72=B34)*'Ventas del mes'!$C$4:$C$72),0)</f>
        <v/>
      </c>
      <c r="G34" s="9">
        <f>D34*F34</f>
        <v/>
      </c>
    </row>
    <row r="35">
      <c r="A35" s="6" t="inlineStr">
        <is>
          <t>DISHES_TOSTADAS</t>
        </is>
      </c>
      <c r="B35" s="6" t="inlineStr">
        <is>
          <t>SALMÓN AHUMADO</t>
        </is>
      </c>
      <c r="C35" s="6" t="inlineStr">
        <is>
          <t>Pepino encurtido</t>
        </is>
      </c>
      <c r="D35" s="9" t="n">
        <v>0.015</v>
      </c>
      <c r="E35" s="6" t="inlineStr">
        <is>
          <t>KG</t>
        </is>
      </c>
      <c r="F35" s="6">
        <f>IFERROR(SUMPRODUCT(('Ventas del mes'!$A$4:$A$72=A35)*('Ventas del mes'!$B$4:$B$72=B35)*'Ventas del mes'!$C$4:$C$72),0)</f>
        <v/>
      </c>
      <c r="G35" s="9">
        <f>D35*F35</f>
        <v/>
      </c>
    </row>
    <row r="36">
      <c r="A36" s="6" t="inlineStr">
        <is>
          <t>DISHES_TOSTADAS</t>
        </is>
      </c>
      <c r="B36" s="6" t="inlineStr">
        <is>
          <t>SALMÓN AHUMADO</t>
        </is>
      </c>
      <c r="C36" s="6" t="inlineStr">
        <is>
          <t>Eneldo fresco</t>
        </is>
      </c>
      <c r="D36" s="9" t="n">
        <v>0.001</v>
      </c>
      <c r="E36" s="6" t="inlineStr">
        <is>
          <t>KG</t>
        </is>
      </c>
      <c r="F36" s="6">
        <f>IFERROR(SUMPRODUCT(('Ventas del mes'!$A$4:$A$72=A36)*('Ventas del mes'!$B$4:$B$72=B36)*'Ventas del mes'!$C$4:$C$72),0)</f>
        <v/>
      </c>
      <c r="G36" s="9">
        <f>D36*F36</f>
        <v/>
      </c>
    </row>
    <row r="37">
      <c r="A37" s="6" t="inlineStr">
        <is>
          <t>DISHES_TOSTADAS</t>
        </is>
      </c>
      <c r="B37" s="6" t="inlineStr">
        <is>
          <t>SALMÓN AHUMADO</t>
        </is>
      </c>
      <c r="C37" s="6" t="inlineStr">
        <is>
          <t>AOVE</t>
        </is>
      </c>
      <c r="D37" s="9" t="n">
        <v>0.005</v>
      </c>
      <c r="E37" s="6" t="inlineStr">
        <is>
          <t>KG</t>
        </is>
      </c>
      <c r="F37" s="6">
        <f>IFERROR(SUMPRODUCT(('Ventas del mes'!$A$4:$A$72=A37)*('Ventas del mes'!$B$4:$B$72=B37)*'Ventas del mes'!$C$4:$C$72),0)</f>
        <v/>
      </c>
      <c r="G37" s="9">
        <f>D37*F37</f>
        <v/>
      </c>
    </row>
    <row r="38">
      <c r="A38" s="6" t="inlineStr">
        <is>
          <t>DISHES_TOSTADAS</t>
        </is>
      </c>
      <c r="B38" s="6" t="inlineStr">
        <is>
          <t>SALMÓN AHUMADO</t>
        </is>
      </c>
      <c r="C38" s="6" t="inlineStr">
        <is>
          <t>Pimienta negra molida</t>
        </is>
      </c>
      <c r="D38" s="9" t="n">
        <v>0.001</v>
      </c>
      <c r="E38" s="6" t="inlineStr">
        <is>
          <t>KG</t>
        </is>
      </c>
      <c r="F38" s="6">
        <f>IFERROR(SUMPRODUCT(('Ventas del mes'!$A$4:$A$72=A38)*('Ventas del mes'!$B$4:$B$72=B38)*'Ventas del mes'!$C$4:$C$72),0)</f>
        <v/>
      </c>
      <c r="G38" s="9">
        <f>D38*F38</f>
        <v/>
      </c>
    </row>
    <row r="39">
      <c r="A39" s="6" t="inlineStr">
        <is>
          <t>DISHES_TOSTADAS</t>
        </is>
      </c>
      <c r="B39" s="6" t="inlineStr">
        <is>
          <t>SALMÓN AHUMADO</t>
        </is>
      </c>
      <c r="C39" s="6" t="inlineStr">
        <is>
          <t>Ralladura de limón</t>
        </is>
      </c>
      <c r="D39" s="9" t="n">
        <v>0.001</v>
      </c>
      <c r="E39" s="6" t="inlineStr">
        <is>
          <t>KG</t>
        </is>
      </c>
      <c r="F39" s="6">
        <f>IFERROR(SUMPRODUCT(('Ventas del mes'!$A$4:$A$72=A39)*('Ventas del mes'!$B$4:$B$72=B39)*'Ventas del mes'!$C$4:$C$72),0)</f>
        <v/>
      </c>
      <c r="G39" s="9">
        <f>D39*F39</f>
        <v/>
      </c>
    </row>
    <row r="40">
      <c r="A40" s="6" t="inlineStr">
        <is>
          <t>DISHES_TOSTADAS</t>
        </is>
      </c>
      <c r="B40" s="6" t="inlineStr">
        <is>
          <t>TOMATE ASADO Y ANCHOA</t>
        </is>
      </c>
      <c r="C40" s="6" t="inlineStr">
        <is>
          <t>Pan de masa madre</t>
        </is>
      </c>
      <c r="D40" s="9" t="n">
        <v>1</v>
      </c>
      <c r="E40" s="6" t="inlineStr">
        <is>
          <t>KG</t>
        </is>
      </c>
      <c r="F40" s="6">
        <f>IFERROR(SUMPRODUCT(('Ventas del mes'!$A$4:$A$72=A40)*('Ventas del mes'!$B$4:$B$72=B40)*'Ventas del mes'!$C$4:$C$72),0)</f>
        <v/>
      </c>
      <c r="G40" s="9">
        <f>D40*F40</f>
        <v/>
      </c>
    </row>
    <row r="41">
      <c r="A41" s="6" t="inlineStr">
        <is>
          <t>DISHES_TOSTADAS</t>
        </is>
      </c>
      <c r="B41" s="6" t="inlineStr">
        <is>
          <t>TOMATE ASADO Y ANCHOA</t>
        </is>
      </c>
      <c r="C41" s="6" t="inlineStr">
        <is>
          <t>Tomate asado</t>
        </is>
      </c>
      <c r="D41" s="9" t="n">
        <v>0.06</v>
      </c>
      <c r="E41" s="6" t="inlineStr">
        <is>
          <t>KG</t>
        </is>
      </c>
      <c r="F41" s="6">
        <f>IFERROR(SUMPRODUCT(('Ventas del mes'!$A$4:$A$72=A41)*('Ventas del mes'!$B$4:$B$72=B41)*'Ventas del mes'!$C$4:$C$72),0)</f>
        <v/>
      </c>
      <c r="G41" s="9">
        <f>D41*F41</f>
        <v/>
      </c>
    </row>
    <row r="42">
      <c r="A42" s="6" t="inlineStr">
        <is>
          <t>DISHES_TOSTADAS</t>
        </is>
      </c>
      <c r="B42" s="6" t="inlineStr">
        <is>
          <t>TOMATE ASADO Y ANCHOA</t>
        </is>
      </c>
      <c r="C42" s="6" t="inlineStr">
        <is>
          <t>4 filetes de anchoa</t>
        </is>
      </c>
      <c r="D42" s="9" t="n">
        <v>0.024</v>
      </c>
      <c r="E42" s="6" t="inlineStr">
        <is>
          <t>L</t>
        </is>
      </c>
      <c r="F42" s="6">
        <f>IFERROR(SUMPRODUCT(('Ventas del mes'!$A$4:$A$72=A42)*('Ventas del mes'!$B$4:$B$72=B42)*'Ventas del mes'!$C$4:$C$72),0)</f>
        <v/>
      </c>
      <c r="G42" s="9">
        <f>D42*F42</f>
        <v/>
      </c>
    </row>
    <row r="43">
      <c r="A43" s="6" t="inlineStr">
        <is>
          <t>DISHES_TOSTADAS</t>
        </is>
      </c>
      <c r="B43" s="6" t="inlineStr">
        <is>
          <t>TOMATE ASADO Y ANCHOA</t>
        </is>
      </c>
      <c r="C43" s="6" t="inlineStr">
        <is>
          <t>AOVE</t>
        </is>
      </c>
      <c r="D43" s="9" t="n">
        <v>0.07000000000000001</v>
      </c>
      <c r="E43" s="6" t="inlineStr">
        <is>
          <t>KG</t>
        </is>
      </c>
      <c r="F43" s="6">
        <f>IFERROR(SUMPRODUCT(('Ventas del mes'!$A$4:$A$72=A43)*('Ventas del mes'!$B$4:$B$72=B43)*'Ventas del mes'!$C$4:$C$72),0)</f>
        <v/>
      </c>
      <c r="G43" s="9">
        <f>D43*F43</f>
        <v/>
      </c>
    </row>
    <row r="44">
      <c r="A44" s="6" t="inlineStr">
        <is>
          <t>DISHES_TOSTADAS</t>
        </is>
      </c>
      <c r="B44" s="6" t="inlineStr">
        <is>
          <t>TOMATE ASADO Y ANCHOA</t>
        </is>
      </c>
      <c r="C44" s="6" t="inlineStr">
        <is>
          <t>Pimienta negra</t>
        </is>
      </c>
      <c r="D44" s="9" t="n">
        <v>0.002</v>
      </c>
      <c r="E44" s="6" t="inlineStr">
        <is>
          <t>KG</t>
        </is>
      </c>
      <c r="F44" s="6">
        <f>IFERROR(SUMPRODUCT(('Ventas del mes'!$A$4:$A$72=A44)*('Ventas del mes'!$B$4:$B$72=B44)*'Ventas del mes'!$C$4:$C$72),0)</f>
        <v/>
      </c>
      <c r="G44" s="9">
        <f>D44*F44</f>
        <v/>
      </c>
    </row>
    <row r="45">
      <c r="A45" s="6" t="inlineStr">
        <is>
          <t>DISHES_TOSTADAS</t>
        </is>
      </c>
      <c r="B45" s="6" t="inlineStr">
        <is>
          <t>PISTO Y YEMA CURADA</t>
        </is>
      </c>
      <c r="C45" s="6" t="inlineStr">
        <is>
          <t>Pan de masa madre</t>
        </is>
      </c>
      <c r="D45" s="9" t="n">
        <v>1</v>
      </c>
      <c r="E45" s="6" t="inlineStr">
        <is>
          <t>KG</t>
        </is>
      </c>
      <c r="F45" s="6">
        <f>IFERROR(SUMPRODUCT(('Ventas del mes'!$A$4:$A$72=A45)*('Ventas del mes'!$B$4:$B$72=B45)*'Ventas del mes'!$C$4:$C$72),0)</f>
        <v/>
      </c>
      <c r="G45" s="9">
        <f>D45*F45</f>
        <v/>
      </c>
    </row>
    <row r="46">
      <c r="A46" s="6" t="inlineStr">
        <is>
          <t>DISHES_TOSTADAS</t>
        </is>
      </c>
      <c r="B46" s="6" t="inlineStr">
        <is>
          <t>PISTO Y YEMA CURADA</t>
        </is>
      </c>
      <c r="C46" s="6" t="inlineStr">
        <is>
          <t>Pisto</t>
        </is>
      </c>
      <c r="D46" s="9" t="n">
        <v>0.08</v>
      </c>
      <c r="E46" s="6" t="inlineStr">
        <is>
          <t>KG</t>
        </is>
      </c>
      <c r="F46" s="6">
        <f>IFERROR(SUMPRODUCT(('Ventas del mes'!$A$4:$A$72=A46)*('Ventas del mes'!$B$4:$B$72=B46)*'Ventas del mes'!$C$4:$C$72),0)</f>
        <v/>
      </c>
      <c r="G46" s="9">
        <f>D46*F46</f>
        <v/>
      </c>
    </row>
    <row r="47">
      <c r="A47" s="6" t="inlineStr">
        <is>
          <t>DISHES_TOSTADAS</t>
        </is>
      </c>
      <c r="B47" s="6" t="inlineStr">
        <is>
          <t>PISTO Y YEMA CURADA</t>
        </is>
      </c>
      <c r="C47" s="6" t="inlineStr">
        <is>
          <t>Huevo pochado</t>
        </is>
      </c>
      <c r="D47" s="9" t="n">
        <v>0.63</v>
      </c>
      <c r="E47" s="6" t="inlineStr">
        <is>
          <t>L</t>
        </is>
      </c>
      <c r="F47" s="6">
        <f>IFERROR(SUMPRODUCT(('Ventas del mes'!$A$4:$A$72=A47)*('Ventas del mes'!$B$4:$B$72=B47)*'Ventas del mes'!$C$4:$C$72),0)</f>
        <v/>
      </c>
      <c r="G47" s="9">
        <f>D47*F47</f>
        <v/>
      </c>
    </row>
    <row r="48">
      <c r="A48" s="6" t="inlineStr">
        <is>
          <t>DISHES_TOSTADAS</t>
        </is>
      </c>
      <c r="B48" s="6" t="inlineStr">
        <is>
          <t>PISTO Y YEMA CURADA</t>
        </is>
      </c>
      <c r="C48" s="6" t="inlineStr">
        <is>
          <t>Yema curada</t>
        </is>
      </c>
      <c r="D48" s="9" t="n">
        <v>0.008</v>
      </c>
      <c r="E48" s="6" t="inlineStr">
        <is>
          <t>KG</t>
        </is>
      </c>
      <c r="F48" s="6">
        <f>IFERROR(SUMPRODUCT(('Ventas del mes'!$A$4:$A$72=A48)*('Ventas del mes'!$B$4:$B$72=B48)*'Ventas del mes'!$C$4:$C$72),0)</f>
        <v/>
      </c>
      <c r="G48" s="9">
        <f>D48*F48</f>
        <v/>
      </c>
    </row>
    <row r="49">
      <c r="A49" s="6" t="inlineStr">
        <is>
          <t>DISHES_TOSTADAS</t>
        </is>
      </c>
      <c r="B49" s="6" t="inlineStr">
        <is>
          <t>PISTO Y YEMA CURADA</t>
        </is>
      </c>
      <c r="C49" s="6" t="inlineStr">
        <is>
          <t>AOVE</t>
        </is>
      </c>
      <c r="D49" s="9" t="n">
        <v>0.005</v>
      </c>
      <c r="E49" s="6" t="inlineStr">
        <is>
          <t>KG</t>
        </is>
      </c>
      <c r="F49" s="6">
        <f>IFERROR(SUMPRODUCT(('Ventas del mes'!$A$4:$A$72=A49)*('Ventas del mes'!$B$4:$B$72=B49)*'Ventas del mes'!$C$4:$C$72),0)</f>
        <v/>
      </c>
      <c r="G49" s="9">
        <f>D49*F49</f>
        <v/>
      </c>
    </row>
    <row r="50">
      <c r="A50" s="6" t="inlineStr">
        <is>
          <t>DISHES_TOSTADAS</t>
        </is>
      </c>
      <c r="B50" s="6" t="inlineStr">
        <is>
          <t>PISTO Y YEMA CURADA</t>
        </is>
      </c>
      <c r="C50" s="6" t="inlineStr">
        <is>
          <t>Escamas de sal</t>
        </is>
      </c>
      <c r="D50" s="9" t="n">
        <v>0.002</v>
      </c>
      <c r="E50" s="6" t="inlineStr">
        <is>
          <t>KG</t>
        </is>
      </c>
      <c r="F50" s="6">
        <f>IFERROR(SUMPRODUCT(('Ventas del mes'!$A$4:$A$72=A50)*('Ventas del mes'!$B$4:$B$72=B50)*'Ventas del mes'!$C$4:$C$72),0)</f>
        <v/>
      </c>
      <c r="G50" s="9">
        <f>D50*F50</f>
        <v/>
      </c>
    </row>
    <row r="51">
      <c r="A51" s="6" t="inlineStr">
        <is>
          <t>DISHES_TOSTADAS</t>
        </is>
      </c>
      <c r="B51" s="6" t="inlineStr">
        <is>
          <t>PISTO Y YEMA CURADA CON HUEVO POCHADO</t>
        </is>
      </c>
      <c r="C51" s="6" t="inlineStr">
        <is>
          <t>Pan de masa madre</t>
        </is>
      </c>
      <c r="D51" s="9" t="n">
        <v>1</v>
      </c>
      <c r="E51" s="6" t="inlineStr">
        <is>
          <t>KG</t>
        </is>
      </c>
      <c r="F51" s="6">
        <f>IFERROR(SUMPRODUCT(('Ventas del mes'!$A$4:$A$72=A51)*('Ventas del mes'!$B$4:$B$72=B51)*'Ventas del mes'!$C$4:$C$72),0)</f>
        <v/>
      </c>
      <c r="G51" s="9">
        <f>D51*F51</f>
        <v/>
      </c>
    </row>
    <row r="52">
      <c r="A52" s="6" t="inlineStr">
        <is>
          <t>DISHES_TOSTADAS</t>
        </is>
      </c>
      <c r="B52" s="6" t="inlineStr">
        <is>
          <t>PISTO Y YEMA CURADA CON HUEVO POCHADO</t>
        </is>
      </c>
      <c r="C52" s="6" t="inlineStr">
        <is>
          <t>Pisto</t>
        </is>
      </c>
      <c r="D52" s="9" t="n">
        <v>0.08</v>
      </c>
      <c r="E52" s="6" t="inlineStr">
        <is>
          <t>KG</t>
        </is>
      </c>
      <c r="F52" s="6">
        <f>IFERROR(SUMPRODUCT(('Ventas del mes'!$A$4:$A$72=A52)*('Ventas del mes'!$B$4:$B$72=B52)*'Ventas del mes'!$C$4:$C$72),0)</f>
        <v/>
      </c>
      <c r="G52" s="9">
        <f>D52*F52</f>
        <v/>
      </c>
    </row>
    <row r="53">
      <c r="A53" s="6" t="inlineStr">
        <is>
          <t>DISHES_TOSTADAS</t>
        </is>
      </c>
      <c r="B53" s="6" t="inlineStr">
        <is>
          <t>PISTO Y YEMA CURADA CON HUEVO POCHADO</t>
        </is>
      </c>
      <c r="C53" s="6" t="inlineStr">
        <is>
          <t>Huevo pochado</t>
        </is>
      </c>
      <c r="D53" s="9" t="n">
        <v>0.63</v>
      </c>
      <c r="E53" s="6" t="inlineStr">
        <is>
          <t>L</t>
        </is>
      </c>
      <c r="F53" s="6">
        <f>IFERROR(SUMPRODUCT(('Ventas del mes'!$A$4:$A$72=A53)*('Ventas del mes'!$B$4:$B$72=B53)*'Ventas del mes'!$C$4:$C$72),0)</f>
        <v/>
      </c>
      <c r="G53" s="9">
        <f>D53*F53</f>
        <v/>
      </c>
    </row>
    <row r="54">
      <c r="A54" s="6" t="inlineStr">
        <is>
          <t>DISHES_TOSTADAS</t>
        </is>
      </c>
      <c r="B54" s="6" t="inlineStr">
        <is>
          <t>PISTO Y YEMA CURADA CON HUEVO POCHADO</t>
        </is>
      </c>
      <c r="C54" s="6" t="inlineStr">
        <is>
          <t>Yema curada rallada</t>
        </is>
      </c>
      <c r="D54" s="9" t="n">
        <v>0.008</v>
      </c>
      <c r="E54" s="6" t="inlineStr">
        <is>
          <t>KG</t>
        </is>
      </c>
      <c r="F54" s="6">
        <f>IFERROR(SUMPRODUCT(('Ventas del mes'!$A$4:$A$72=A54)*('Ventas del mes'!$B$4:$B$72=B54)*'Ventas del mes'!$C$4:$C$72),0)</f>
        <v/>
      </c>
      <c r="G54" s="9">
        <f>D54*F54</f>
        <v/>
      </c>
    </row>
    <row r="55">
      <c r="A55" s="6" t="inlineStr">
        <is>
          <t>DISHES_TOSTADAS</t>
        </is>
      </c>
      <c r="B55" s="6" t="inlineStr">
        <is>
          <t>PISTO Y YEMA CURADA CON HUEVO POCHADO</t>
        </is>
      </c>
      <c r="C55" s="6" t="inlineStr">
        <is>
          <t>AOVE</t>
        </is>
      </c>
      <c r="D55" s="9" t="n">
        <v>0.005</v>
      </c>
      <c r="E55" s="6" t="inlineStr">
        <is>
          <t>KG</t>
        </is>
      </c>
      <c r="F55" s="6">
        <f>IFERROR(SUMPRODUCT(('Ventas del mes'!$A$4:$A$72=A55)*('Ventas del mes'!$B$4:$B$72=B55)*'Ventas del mes'!$C$4:$C$72),0)</f>
        <v/>
      </c>
      <c r="G55" s="9">
        <f>D55*F55</f>
        <v/>
      </c>
    </row>
    <row r="56">
      <c r="A56" s="6" t="inlineStr">
        <is>
          <t>DISHES_TOSTADAS</t>
        </is>
      </c>
      <c r="B56" s="6" t="inlineStr">
        <is>
          <t>PISTO Y YEMA CURADA CON HUEVO POCHADO</t>
        </is>
      </c>
      <c r="C56" s="6" t="inlineStr">
        <is>
          <t>Escamas de sal</t>
        </is>
      </c>
      <c r="D56" s="9" t="n">
        <v>0.002</v>
      </c>
      <c r="E56" s="6" t="inlineStr">
        <is>
          <t>KG</t>
        </is>
      </c>
      <c r="F56" s="6">
        <f>IFERROR(SUMPRODUCT(('Ventas del mes'!$A$4:$A$72=A56)*('Ventas del mes'!$B$4:$B$72=B56)*'Ventas del mes'!$C$4:$C$72),0)</f>
        <v/>
      </c>
      <c r="G56" s="9">
        <f>D56*F56</f>
        <v/>
      </c>
    </row>
    <row r="57">
      <c r="A57" s="6" t="inlineStr">
        <is>
          <t>DISHES_TOSTADAS</t>
        </is>
      </c>
      <c r="B57" s="6" t="inlineStr">
        <is>
          <t>PISTO Y YEMA CURADA CON HUEVO POCHADO</t>
        </is>
      </c>
      <c r="C57" s="6" t="inlineStr">
        <is>
          <t>Huevo pochado (opcional)</t>
        </is>
      </c>
      <c r="D57" s="9" t="n">
        <v>0.63</v>
      </c>
      <c r="E57" s="6" t="inlineStr">
        <is>
          <t>L</t>
        </is>
      </c>
      <c r="F57" s="6">
        <f>IFERROR(SUMPRODUCT(('Ventas del mes'!$A$4:$A$72=A57)*('Ventas del mes'!$B$4:$B$72=B57)*'Ventas del mes'!$C$4:$C$72),0)</f>
        <v/>
      </c>
      <c r="G57" s="9">
        <f>D57*F57</f>
        <v/>
      </c>
    </row>
    <row r="58">
      <c r="A58" s="6" t="inlineStr">
        <is>
          <t>DISHES_TOSTADAS</t>
        </is>
      </c>
      <c r="B58" s="6" t="inlineStr">
        <is>
          <t>"COCIDO"</t>
        </is>
      </c>
      <c r="C58" s="6" t="inlineStr">
        <is>
          <t>Pan de masa madre</t>
        </is>
      </c>
      <c r="D58" s="9" t="n">
        <v>1</v>
      </c>
      <c r="E58" s="6" t="inlineStr">
        <is>
          <t>KG</t>
        </is>
      </c>
      <c r="F58" s="6">
        <f>IFERROR(SUMPRODUCT(('Ventas del mes'!$A$4:$A$72=A58)*('Ventas del mes'!$B$4:$B$72=B58)*'Ventas del mes'!$C$4:$C$72),0)</f>
        <v/>
      </c>
      <c r="G58" s="9">
        <f>D58*F58</f>
        <v/>
      </c>
    </row>
    <row r="59">
      <c r="A59" s="6" t="inlineStr">
        <is>
          <t>DISHES_TOSTADAS</t>
        </is>
      </c>
      <c r="B59" s="6" t="inlineStr">
        <is>
          <t>"COCIDO"</t>
        </is>
      </c>
      <c r="C59" s="6" t="inlineStr">
        <is>
          <t>Humus</t>
        </is>
      </c>
      <c r="D59" s="9" t="n">
        <v>0.06</v>
      </c>
      <c r="E59" s="6" t="inlineStr">
        <is>
          <t>KG</t>
        </is>
      </c>
      <c r="F59" s="6">
        <f>IFERROR(SUMPRODUCT(('Ventas del mes'!$A$4:$A$72=A59)*('Ventas del mes'!$B$4:$B$72=B59)*'Ventas del mes'!$C$4:$C$72),0)</f>
        <v/>
      </c>
      <c r="G59" s="9">
        <f>D59*F59</f>
        <v/>
      </c>
    </row>
    <row r="60">
      <c r="A60" s="6" t="inlineStr">
        <is>
          <t>DISHES_TOSTADAS</t>
        </is>
      </c>
      <c r="B60" s="6" t="inlineStr">
        <is>
          <t>"COCIDO"</t>
        </is>
      </c>
      <c r="C60" s="6" t="inlineStr">
        <is>
          <t>Col horneada</t>
        </is>
      </c>
      <c r="D60" s="9" t="n">
        <v>0.02</v>
      </c>
      <c r="E60" s="6" t="inlineStr">
        <is>
          <t>KG</t>
        </is>
      </c>
      <c r="F60" s="6">
        <f>IFERROR(SUMPRODUCT(('Ventas del mes'!$A$4:$A$72=A60)*('Ventas del mes'!$B$4:$B$72=B60)*'Ventas del mes'!$C$4:$C$72),0)</f>
        <v/>
      </c>
      <c r="G60" s="9">
        <f>D60*F60</f>
        <v/>
      </c>
    </row>
    <row r="61">
      <c r="A61" s="6" t="inlineStr">
        <is>
          <t>DISHES_TOSTADAS</t>
        </is>
      </c>
      <c r="B61" s="6" t="inlineStr">
        <is>
          <t>"COCIDO"</t>
        </is>
      </c>
      <c r="C61" s="6" t="inlineStr">
        <is>
          <t>Tocino crujiente</t>
        </is>
      </c>
      <c r="D61" s="9" t="n">
        <v>0.015</v>
      </c>
      <c r="E61" s="6" t="inlineStr">
        <is>
          <t>KG</t>
        </is>
      </c>
      <c r="F61" s="6">
        <f>IFERROR(SUMPRODUCT(('Ventas del mes'!$A$4:$A$72=A61)*('Ventas del mes'!$B$4:$B$72=B61)*'Ventas del mes'!$C$4:$C$72),0)</f>
        <v/>
      </c>
      <c r="G61" s="9">
        <f>D61*F61</f>
        <v/>
      </c>
    </row>
    <row r="62">
      <c r="A62" s="6" t="inlineStr">
        <is>
          <t>DISHES_TOSTADAS</t>
        </is>
      </c>
      <c r="B62" s="6" t="inlineStr">
        <is>
          <t>"COCIDO"</t>
        </is>
      </c>
      <c r="C62" s="6" t="inlineStr">
        <is>
          <t>AOVE</t>
        </is>
      </c>
      <c r="D62" s="9" t="n">
        <v>0.005</v>
      </c>
      <c r="E62" s="6" t="inlineStr">
        <is>
          <t>L</t>
        </is>
      </c>
      <c r="F62" s="6">
        <f>IFERROR(SUMPRODUCT(('Ventas del mes'!$A$4:$A$72=A62)*('Ventas del mes'!$B$4:$B$72=B62)*'Ventas del mes'!$C$4:$C$72),0)</f>
        <v/>
      </c>
      <c r="G62" s="9">
        <f>D62*F62</f>
        <v/>
      </c>
    </row>
    <row r="63">
      <c r="A63" s="6" t="inlineStr">
        <is>
          <t>DISHES_TOSTADAS</t>
        </is>
      </c>
      <c r="B63" s="6" t="inlineStr">
        <is>
          <t>"COCIDO"</t>
        </is>
      </c>
      <c r="C63" s="6" t="inlineStr">
        <is>
          <t>Pimentón ahumado</t>
        </is>
      </c>
      <c r="D63" s="9" t="n">
        <v>0.005</v>
      </c>
      <c r="E63" s="6" t="inlineStr">
        <is>
          <t>KG</t>
        </is>
      </c>
      <c r="F63" s="6">
        <f>IFERROR(SUMPRODUCT(('Ventas del mes'!$A$4:$A$72=A63)*('Ventas del mes'!$B$4:$B$72=B63)*'Ventas del mes'!$C$4:$C$72),0)</f>
        <v/>
      </c>
      <c r="G63" s="9">
        <f>D63*F63</f>
        <v/>
      </c>
    </row>
    <row r="64">
      <c r="A64" s="6" t="inlineStr">
        <is>
          <t>DISHES_TOSTADAS</t>
        </is>
      </c>
      <c r="B64" s="6" t="inlineStr">
        <is>
          <t>DE LECHE MERENGADA</t>
        </is>
      </c>
      <c r="C64" s="6" t="inlineStr">
        <is>
          <t>Pan de masa madre</t>
        </is>
      </c>
      <c r="D64" s="9" t="n">
        <v>1</v>
      </c>
      <c r="E64" s="6" t="inlineStr">
        <is>
          <t>KG</t>
        </is>
      </c>
      <c r="F64" s="6">
        <f>IFERROR(SUMPRODUCT(('Ventas del mes'!$A$4:$A$72=A64)*('Ventas del mes'!$B$4:$B$72=B64)*'Ventas del mes'!$C$4:$C$72),0)</f>
        <v/>
      </c>
      <c r="G64" s="9">
        <f>D64*F64</f>
        <v/>
      </c>
    </row>
    <row r="65">
      <c r="A65" s="6" t="inlineStr">
        <is>
          <t>DISHES_TOSTADAS</t>
        </is>
      </c>
      <c r="B65" s="6" t="inlineStr">
        <is>
          <t>DE LECHE MERENGADA</t>
        </is>
      </c>
      <c r="C65" s="6" t="inlineStr">
        <is>
          <t>Crema de leche merengada</t>
        </is>
      </c>
      <c r="D65" s="9" t="n">
        <v>0.045</v>
      </c>
      <c r="E65" s="6" t="inlineStr">
        <is>
          <t>KG</t>
        </is>
      </c>
      <c r="F65" s="6">
        <f>IFERROR(SUMPRODUCT(('Ventas del mes'!$A$4:$A$72=A65)*('Ventas del mes'!$B$4:$B$72=B65)*'Ventas del mes'!$C$4:$C$72),0)</f>
        <v/>
      </c>
      <c r="G65" s="9">
        <f>D65*F65</f>
        <v/>
      </c>
    </row>
    <row r="66">
      <c r="A66" s="6" t="inlineStr">
        <is>
          <t>DISHES_TOSTADAS</t>
        </is>
      </c>
      <c r="B66" s="6" t="inlineStr">
        <is>
          <t>DE LECHE MERENGADA</t>
        </is>
      </c>
      <c r="C66" s="6" t="inlineStr">
        <is>
          <t>Almendra laminada</t>
        </is>
      </c>
      <c r="D66" s="9" t="n">
        <v>0.008</v>
      </c>
      <c r="E66" s="6" t="inlineStr">
        <is>
          <t>L</t>
        </is>
      </c>
      <c r="F66" s="6">
        <f>IFERROR(SUMPRODUCT(('Ventas del mes'!$A$4:$A$72=A66)*('Ventas del mes'!$B$4:$B$72=B66)*'Ventas del mes'!$C$4:$C$72),0)</f>
        <v/>
      </c>
      <c r="G66" s="9">
        <f>D66*F66</f>
        <v/>
      </c>
    </row>
    <row r="67">
      <c r="A67" s="6" t="inlineStr">
        <is>
          <t>DISHES_TOSTADAS</t>
        </is>
      </c>
      <c r="B67" s="6" t="inlineStr">
        <is>
          <t>DE LECHE MERENGADA</t>
        </is>
      </c>
      <c r="C67" s="6" t="inlineStr">
        <is>
          <t>Ralladura de limón</t>
        </is>
      </c>
      <c r="D67" s="9" t="n">
        <v>0.005</v>
      </c>
      <c r="E67" s="6" t="inlineStr">
        <is>
          <t>KG</t>
        </is>
      </c>
      <c r="F67" s="6">
        <f>IFERROR(SUMPRODUCT(('Ventas del mes'!$A$4:$A$72=A67)*('Ventas del mes'!$B$4:$B$72=B67)*'Ventas del mes'!$C$4:$C$72),0)</f>
        <v/>
      </c>
      <c r="G67" s="9">
        <f>D67*F67</f>
        <v/>
      </c>
    </row>
    <row r="68">
      <c r="A68" s="6" t="inlineStr">
        <is>
          <t>DISHES_TOSTADAS</t>
        </is>
      </c>
      <c r="B68" s="6" t="inlineStr">
        <is>
          <t>DE LECHE MERENGADA</t>
        </is>
      </c>
      <c r="C68" s="6" t="inlineStr">
        <is>
          <t>Azucar</t>
        </is>
      </c>
      <c r="D68" s="9" t="n">
        <v>0.002</v>
      </c>
      <c r="E68" s="6" t="inlineStr">
        <is>
          <t>KG</t>
        </is>
      </c>
      <c r="F68" s="6">
        <f>IFERROR(SUMPRODUCT(('Ventas del mes'!$A$4:$A$72=A68)*('Ventas del mes'!$B$4:$B$72=B68)*'Ventas del mes'!$C$4:$C$72),0)</f>
        <v/>
      </c>
      <c r="G68" s="9">
        <f>D68*F68</f>
        <v/>
      </c>
    </row>
    <row r="69">
      <c r="A69" s="6" t="inlineStr">
        <is>
          <t>DISHES_TOSTADAS</t>
        </is>
      </c>
      <c r="B69" s="6" t="inlineStr">
        <is>
          <t>TOSTADA DE JAMÓN IBÉRICO con huevo</t>
        </is>
      </c>
      <c r="C69" s="6" t="inlineStr">
        <is>
          <t>Pan de masa madre</t>
        </is>
      </c>
      <c r="D69" s="9" t="n">
        <v>1</v>
      </c>
      <c r="E69" s="6" t="inlineStr">
        <is>
          <t>KG</t>
        </is>
      </c>
      <c r="F69" s="6">
        <f>IFERROR(SUMPRODUCT(('Ventas del mes'!$A$4:$A$72=A69)*('Ventas del mes'!$B$4:$B$72=B69)*'Ventas del mes'!$C$4:$C$72),0)</f>
        <v/>
      </c>
      <c r="G69" s="9">
        <f>D69*F69</f>
        <v/>
      </c>
    </row>
    <row r="70">
      <c r="A70" s="6" t="inlineStr">
        <is>
          <t>DISHES_TOSTADAS</t>
        </is>
      </c>
      <c r="B70" s="6" t="inlineStr">
        <is>
          <t>TOSTADA DE JAMÓN IBÉRICO con huevo</t>
        </is>
      </c>
      <c r="C70" s="6" t="inlineStr">
        <is>
          <t>Aguacate laminado</t>
        </is>
      </c>
      <c r="D70" s="9" t="n">
        <v>0.065</v>
      </c>
      <c r="E70" s="6" t="inlineStr">
        <is>
          <t>KG</t>
        </is>
      </c>
      <c r="F70" s="6">
        <f>IFERROR(SUMPRODUCT(('Ventas del mes'!$A$4:$A$72=A70)*('Ventas del mes'!$B$4:$B$72=B70)*'Ventas del mes'!$C$4:$C$72),0)</f>
        <v/>
      </c>
      <c r="G70" s="9">
        <f>D70*F70</f>
        <v/>
      </c>
    </row>
    <row r="71">
      <c r="A71" s="6" t="inlineStr">
        <is>
          <t>DISHES_TOSTADAS</t>
        </is>
      </c>
      <c r="B71" s="6" t="inlineStr">
        <is>
          <t>TOSTADA DE JAMÓN IBÉRICO con huevo</t>
        </is>
      </c>
      <c r="C71" s="6" t="inlineStr">
        <is>
          <t>Jamón ibérico</t>
        </is>
      </c>
      <c r="D71" s="9" t="n">
        <v>0.025</v>
      </c>
      <c r="E71" s="6" t="inlineStr">
        <is>
          <t>KG</t>
        </is>
      </c>
      <c r="F71" s="6">
        <f>IFERROR(SUMPRODUCT(('Ventas del mes'!$A$4:$A$72=A71)*('Ventas del mes'!$B$4:$B$72=B71)*'Ventas del mes'!$C$4:$C$72),0)</f>
        <v/>
      </c>
      <c r="G71" s="9">
        <f>D71*F71</f>
        <v/>
      </c>
    </row>
    <row r="72">
      <c r="A72" s="6" t="inlineStr">
        <is>
          <t>DISHES_TOSTADAS</t>
        </is>
      </c>
      <c r="B72" s="6" t="inlineStr">
        <is>
          <t>TOSTADA DE JAMÓN IBÉRICO con huevo</t>
        </is>
      </c>
      <c r="C72" s="6" t="inlineStr">
        <is>
          <t>Mix de semillas</t>
        </is>
      </c>
      <c r="D72" s="9" t="n">
        <v>0.003</v>
      </c>
      <c r="E72" s="6" t="inlineStr">
        <is>
          <t>KG</t>
        </is>
      </c>
      <c r="F72" s="6">
        <f>IFERROR(SUMPRODUCT(('Ventas del mes'!$A$4:$A$72=A72)*('Ventas del mes'!$B$4:$B$72=B72)*'Ventas del mes'!$C$4:$C$72),0)</f>
        <v/>
      </c>
      <c r="G72" s="9">
        <f>D72*F72</f>
        <v/>
      </c>
    </row>
    <row r="73">
      <c r="A73" s="6" t="inlineStr">
        <is>
          <t>DISHES_TOSTADAS</t>
        </is>
      </c>
      <c r="B73" s="6" t="inlineStr">
        <is>
          <t>TOSTADA DE JAMÓN IBÉRICO con huevo</t>
        </is>
      </c>
      <c r="C73" s="6" t="inlineStr">
        <is>
          <t>Germinados</t>
        </is>
      </c>
      <c r="D73" s="9" t="n">
        <v>0.002</v>
      </c>
      <c r="E73" s="6" t="inlineStr">
        <is>
          <t>KG</t>
        </is>
      </c>
      <c r="F73" s="6">
        <f>IFERROR(SUMPRODUCT(('Ventas del mes'!$A$4:$A$72=A73)*('Ventas del mes'!$B$4:$B$72=B73)*'Ventas del mes'!$C$4:$C$72),0)</f>
        <v/>
      </c>
      <c r="G73" s="9">
        <f>D73*F73</f>
        <v/>
      </c>
    </row>
    <row r="74">
      <c r="A74" s="6" t="inlineStr">
        <is>
          <t>DISHES_TOSTADAS</t>
        </is>
      </c>
      <c r="B74" s="6" t="inlineStr">
        <is>
          <t>TOSTADA DE JAMÓN IBÉRICO con huevo</t>
        </is>
      </c>
      <c r="C74" s="6" t="inlineStr">
        <is>
          <t>AOVE</t>
        </is>
      </c>
      <c r="D74" s="9" t="n">
        <v>0.005</v>
      </c>
      <c r="E74" s="6" t="inlineStr">
        <is>
          <t>KG</t>
        </is>
      </c>
      <c r="F74" s="6">
        <f>IFERROR(SUMPRODUCT(('Ventas del mes'!$A$4:$A$72=A74)*('Ventas del mes'!$B$4:$B$72=B74)*'Ventas del mes'!$C$4:$C$72),0)</f>
        <v/>
      </c>
      <c r="G74" s="9">
        <f>D74*F74</f>
        <v/>
      </c>
    </row>
    <row r="75">
      <c r="A75" s="6" t="inlineStr">
        <is>
          <t>DISHES_TOSTADAS</t>
        </is>
      </c>
      <c r="B75" s="6" t="inlineStr">
        <is>
          <t>TOSTADA DE JAMÓN IBÉRICO con huevo</t>
        </is>
      </c>
      <c r="C75" s="6" t="inlineStr">
        <is>
          <t>Escamas de sal</t>
        </is>
      </c>
      <c r="D75" s="9" t="n">
        <v>0.001</v>
      </c>
      <c r="E75" s="6" t="inlineStr">
        <is>
          <t>KG</t>
        </is>
      </c>
      <c r="F75" s="6">
        <f>IFERROR(SUMPRODUCT(('Ventas del mes'!$A$4:$A$72=A75)*('Ventas del mes'!$B$4:$B$72=B75)*'Ventas del mes'!$C$4:$C$72),0)</f>
        <v/>
      </c>
      <c r="G75" s="9">
        <f>D75*F75</f>
        <v/>
      </c>
    </row>
    <row r="76">
      <c r="A76" s="6" t="inlineStr">
        <is>
          <t>DISHES_TOSTADAS</t>
        </is>
      </c>
      <c r="B76" s="6" t="inlineStr">
        <is>
          <t>TOSTADA DE JAMÓN IBÉRICO con huevo</t>
        </is>
      </c>
      <c r="C76" s="6" t="inlineStr">
        <is>
          <t>Huevo pochado (opcional)</t>
        </is>
      </c>
      <c r="D76" s="9" t="n">
        <v>1</v>
      </c>
      <c r="E76" s="6" t="inlineStr">
        <is>
          <t>UD</t>
        </is>
      </c>
      <c r="F76" s="6">
        <f>IFERROR(SUMPRODUCT(('Ventas del mes'!$A$4:$A$72=A76)*('Ventas del mes'!$B$4:$B$72=B76)*'Ventas del mes'!$C$4:$C$72),0)</f>
        <v/>
      </c>
      <c r="G76" s="9">
        <f>D76*F76</f>
        <v/>
      </c>
    </row>
    <row r="77">
      <c r="A77" s="6" t="inlineStr">
        <is>
          <t>DISHES_TOSTADAS</t>
        </is>
      </c>
      <c r="B77" s="6" t="inlineStr">
        <is>
          <t>TOMATE, AOVE, SAL CON HUEVO</t>
        </is>
      </c>
      <c r="C77" s="6" t="inlineStr">
        <is>
          <t>Pan de masa madre</t>
        </is>
      </c>
      <c r="D77" s="9" t="n">
        <v>1</v>
      </c>
      <c r="E77" s="6" t="inlineStr">
        <is>
          <t>KG</t>
        </is>
      </c>
      <c r="F77" s="6">
        <f>IFERROR(SUMPRODUCT(('Ventas del mes'!$A$4:$A$72=A77)*('Ventas del mes'!$B$4:$B$72=B77)*'Ventas del mes'!$C$4:$C$72),0)</f>
        <v/>
      </c>
      <c r="G77" s="9">
        <f>D77*F77</f>
        <v/>
      </c>
    </row>
    <row r="78">
      <c r="A78" s="6" t="inlineStr">
        <is>
          <t>DISHES_TOSTADAS</t>
        </is>
      </c>
      <c r="B78" s="6" t="inlineStr">
        <is>
          <t>TOMATE, AOVE, SAL CON HUEVO</t>
        </is>
      </c>
      <c r="C78" s="6" t="inlineStr">
        <is>
          <t>Tomate rallado</t>
        </is>
      </c>
      <c r="D78" s="9" t="n">
        <v>0.06</v>
      </c>
      <c r="E78" s="6" t="inlineStr">
        <is>
          <t>KG</t>
        </is>
      </c>
      <c r="F78" s="6">
        <f>IFERROR(SUMPRODUCT(('Ventas del mes'!$A$4:$A$72=A78)*('Ventas del mes'!$B$4:$B$72=B78)*'Ventas del mes'!$C$4:$C$72),0)</f>
        <v/>
      </c>
      <c r="G78" s="9">
        <f>D78*F78</f>
        <v/>
      </c>
    </row>
    <row r="79">
      <c r="A79" s="6" t="inlineStr">
        <is>
          <t>DISHES_TOSTADAS</t>
        </is>
      </c>
      <c r="B79" s="6" t="inlineStr">
        <is>
          <t>TOMATE, AOVE, SAL CON HUEVO</t>
        </is>
      </c>
      <c r="C79" s="6" t="inlineStr">
        <is>
          <t>AOVE</t>
        </is>
      </c>
      <c r="D79" s="9" t="n">
        <v>0.006</v>
      </c>
      <c r="E79" s="6" t="inlineStr">
        <is>
          <t>L</t>
        </is>
      </c>
      <c r="F79" s="6">
        <f>IFERROR(SUMPRODUCT(('Ventas del mes'!$A$4:$A$72=A79)*('Ventas del mes'!$B$4:$B$72=B79)*'Ventas del mes'!$C$4:$C$72),0)</f>
        <v/>
      </c>
      <c r="G79" s="9">
        <f>D79*F79</f>
        <v/>
      </c>
    </row>
    <row r="80">
      <c r="A80" s="6" t="inlineStr">
        <is>
          <t>DISHES_TOSTADAS</t>
        </is>
      </c>
      <c r="B80" s="6" t="inlineStr">
        <is>
          <t>TOMATE, AOVE, SAL CON HUEVO</t>
        </is>
      </c>
      <c r="C80" s="6" t="inlineStr">
        <is>
          <t>Escamas de sal</t>
        </is>
      </c>
      <c r="D80" s="9" t="n">
        <v>0.003</v>
      </c>
      <c r="E80" s="6" t="inlineStr">
        <is>
          <t>KG</t>
        </is>
      </c>
      <c r="F80" s="6">
        <f>IFERROR(SUMPRODUCT(('Ventas del mes'!$A$4:$A$72=A80)*('Ventas del mes'!$B$4:$B$72=B80)*'Ventas del mes'!$C$4:$C$72),0)</f>
        <v/>
      </c>
      <c r="G80" s="9">
        <f>D80*F80</f>
        <v/>
      </c>
    </row>
    <row r="81">
      <c r="A81" s="6" t="inlineStr">
        <is>
          <t>DISHES_TOSTADAS</t>
        </is>
      </c>
      <c r="B81" s="6" t="inlineStr">
        <is>
          <t>TOMATE, AOVE, SAL CON HUEVO</t>
        </is>
      </c>
      <c r="C81" s="6" t="inlineStr">
        <is>
          <t>Huevo revuelto (opcional)</t>
        </is>
      </c>
      <c r="D81" s="9" t="n">
        <v>1</v>
      </c>
      <c r="E81" s="6" t="inlineStr">
        <is>
          <t>UD</t>
        </is>
      </c>
      <c r="F81" s="6">
        <f>IFERROR(SUMPRODUCT(('Ventas del mes'!$A$4:$A$72=A81)*('Ventas del mes'!$B$4:$B$72=B81)*'Ventas del mes'!$C$4:$C$72),0)</f>
        <v/>
      </c>
      <c r="G81" s="9">
        <f>D81*F81</f>
        <v/>
      </c>
    </row>
    <row r="82">
      <c r="A82" s="6" t="inlineStr">
        <is>
          <t>DISHES_TOSTADAS</t>
        </is>
      </c>
      <c r="B82" s="6" t="inlineStr">
        <is>
          <t>TOMATE, AOVE, SAL CON JAMON (no)</t>
        </is>
      </c>
      <c r="C82" s="6" t="inlineStr">
        <is>
          <t>Pan de masa madre</t>
        </is>
      </c>
      <c r="D82" s="9" t="n">
        <v>1</v>
      </c>
      <c r="E82" s="6" t="inlineStr">
        <is>
          <t>KG</t>
        </is>
      </c>
      <c r="F82" s="6">
        <f>IFERROR(SUMPRODUCT(('Ventas del mes'!$A$4:$A$72=A82)*('Ventas del mes'!$B$4:$B$72=B82)*'Ventas del mes'!$C$4:$C$72),0)</f>
        <v/>
      </c>
      <c r="G82" s="9">
        <f>D82*F82</f>
        <v/>
      </c>
    </row>
    <row r="83">
      <c r="A83" s="6" t="inlineStr">
        <is>
          <t>DISHES_TOSTADAS</t>
        </is>
      </c>
      <c r="B83" s="6" t="inlineStr">
        <is>
          <t>TOMATE, AOVE, SAL CON JAMON (no)</t>
        </is>
      </c>
      <c r="C83" s="6" t="inlineStr">
        <is>
          <t>Tomate rallado</t>
        </is>
      </c>
      <c r="D83" s="9" t="n">
        <v>0.06</v>
      </c>
      <c r="E83" s="6" t="inlineStr">
        <is>
          <t>KG</t>
        </is>
      </c>
      <c r="F83" s="6">
        <f>IFERROR(SUMPRODUCT(('Ventas del mes'!$A$4:$A$72=A83)*('Ventas del mes'!$B$4:$B$72=B83)*'Ventas del mes'!$C$4:$C$72),0)</f>
        <v/>
      </c>
      <c r="G83" s="9">
        <f>D83*F83</f>
        <v/>
      </c>
    </row>
    <row r="84">
      <c r="A84" s="6" t="inlineStr">
        <is>
          <t>DISHES_TOSTADAS</t>
        </is>
      </c>
      <c r="B84" s="6" t="inlineStr">
        <is>
          <t>TOMATE, AOVE, SAL CON JAMON (no)</t>
        </is>
      </c>
      <c r="C84" s="6" t="inlineStr">
        <is>
          <t>AOVE</t>
        </is>
      </c>
      <c r="D84" s="9" t="n">
        <v>0.006</v>
      </c>
      <c r="E84" s="6" t="inlineStr">
        <is>
          <t>L</t>
        </is>
      </c>
      <c r="F84" s="6">
        <f>IFERROR(SUMPRODUCT(('Ventas del mes'!$A$4:$A$72=A84)*('Ventas del mes'!$B$4:$B$72=B84)*'Ventas del mes'!$C$4:$C$72),0)</f>
        <v/>
      </c>
      <c r="G84" s="9">
        <f>D84*F84</f>
        <v/>
      </c>
    </row>
    <row r="85">
      <c r="A85" s="6" t="inlineStr">
        <is>
          <t>DISHES_TOSTADAS</t>
        </is>
      </c>
      <c r="B85" s="6" t="inlineStr">
        <is>
          <t>TOMATE, AOVE, SAL CON JAMON (no)</t>
        </is>
      </c>
      <c r="C85" s="6" t="inlineStr">
        <is>
          <t>Escamas de sal</t>
        </is>
      </c>
      <c r="D85" s="9" t="n">
        <v>0.003</v>
      </c>
      <c r="E85" s="6" t="inlineStr">
        <is>
          <t>KG</t>
        </is>
      </c>
      <c r="F85" s="6">
        <f>IFERROR(SUMPRODUCT(('Ventas del mes'!$A$4:$A$72=A85)*('Ventas del mes'!$B$4:$B$72=B85)*'Ventas del mes'!$C$4:$C$72),0)</f>
        <v/>
      </c>
      <c r="G85" s="9">
        <f>D85*F85</f>
        <v/>
      </c>
    </row>
    <row r="86">
      <c r="A86" s="6" t="inlineStr">
        <is>
          <t>DISHES_TOSTADAS</t>
        </is>
      </c>
      <c r="B86" s="6" t="inlineStr">
        <is>
          <t>TOMATE, AOVE, SAL CON JAMON (no)</t>
        </is>
      </c>
      <c r="C86" s="6" t="inlineStr">
        <is>
          <t>Jamón Ibérico (Opcional)</t>
        </is>
      </c>
      <c r="D86" s="9" t="n">
        <v>0.025</v>
      </c>
      <c r="E86" s="6" t="inlineStr">
        <is>
          <t>KG</t>
        </is>
      </c>
      <c r="F86" s="6">
        <f>IFERROR(SUMPRODUCT(('Ventas del mes'!$A$4:$A$72=A86)*('Ventas del mes'!$B$4:$B$72=B86)*'Ventas del mes'!$C$4:$C$72),0)</f>
        <v/>
      </c>
      <c r="G86" s="9">
        <f>D86*F86</f>
        <v/>
      </c>
    </row>
    <row r="87">
      <c r="A87" s="6" t="inlineStr">
        <is>
          <t>DISHES_TOSTADAS</t>
        </is>
      </c>
      <c r="B87" s="6" t="inlineStr">
        <is>
          <t>TOMATE, AOVE, SAL CON QUESO (no)</t>
        </is>
      </c>
      <c r="C87" s="6" t="inlineStr">
        <is>
          <t>Pan de masa madre</t>
        </is>
      </c>
      <c r="D87" s="9" t="n">
        <v>1</v>
      </c>
      <c r="E87" s="6" t="inlineStr">
        <is>
          <t>KG</t>
        </is>
      </c>
      <c r="F87" s="6">
        <f>IFERROR(SUMPRODUCT(('Ventas del mes'!$A$4:$A$72=A87)*('Ventas del mes'!$B$4:$B$72=B87)*'Ventas del mes'!$C$4:$C$72),0)</f>
        <v/>
      </c>
      <c r="G87" s="9">
        <f>D87*F87</f>
        <v/>
      </c>
    </row>
    <row r="88">
      <c r="A88" s="6" t="inlineStr">
        <is>
          <t>DISHES_TOSTADAS</t>
        </is>
      </c>
      <c r="B88" s="6" t="inlineStr">
        <is>
          <t>TOMATE, AOVE, SAL CON QUESO (no)</t>
        </is>
      </c>
      <c r="C88" s="6" t="inlineStr">
        <is>
          <t>Tomate rallado</t>
        </is>
      </c>
      <c r="D88" s="9" t="n">
        <v>0.06</v>
      </c>
      <c r="E88" s="6" t="inlineStr">
        <is>
          <t>KG</t>
        </is>
      </c>
      <c r="F88" s="6">
        <f>IFERROR(SUMPRODUCT(('Ventas del mes'!$A$4:$A$72=A88)*('Ventas del mes'!$B$4:$B$72=B88)*'Ventas del mes'!$C$4:$C$72),0)</f>
        <v/>
      </c>
      <c r="G88" s="9">
        <f>D88*F88</f>
        <v/>
      </c>
    </row>
    <row r="89">
      <c r="A89" s="6" t="inlineStr">
        <is>
          <t>DISHES_TOSTADAS</t>
        </is>
      </c>
      <c r="B89" s="6" t="inlineStr">
        <is>
          <t>TOMATE, AOVE, SAL CON QUESO (no)</t>
        </is>
      </c>
      <c r="C89" s="6" t="inlineStr">
        <is>
          <t>AOVE</t>
        </is>
      </c>
      <c r="D89" s="9" t="n">
        <v>0.006</v>
      </c>
      <c r="E89" s="6" t="inlineStr">
        <is>
          <t>L</t>
        </is>
      </c>
      <c r="F89" s="6">
        <f>IFERROR(SUMPRODUCT(('Ventas del mes'!$A$4:$A$72=A89)*('Ventas del mes'!$B$4:$B$72=B89)*'Ventas del mes'!$C$4:$C$72),0)</f>
        <v/>
      </c>
      <c r="G89" s="9">
        <f>D89*F89</f>
        <v/>
      </c>
    </row>
    <row r="90">
      <c r="A90" s="6" t="inlineStr">
        <is>
          <t>DISHES_TOSTADAS</t>
        </is>
      </c>
      <c r="B90" s="6" t="inlineStr">
        <is>
          <t>TOMATE, AOVE, SAL CON QUESO (no)</t>
        </is>
      </c>
      <c r="C90" s="6" t="inlineStr">
        <is>
          <t>Escamas de sal</t>
        </is>
      </c>
      <c r="D90" s="9" t="n">
        <v>0.003</v>
      </c>
      <c r="E90" s="6" t="inlineStr">
        <is>
          <t>KG</t>
        </is>
      </c>
      <c r="F90" s="6">
        <f>IFERROR(SUMPRODUCT(('Ventas del mes'!$A$4:$A$72=A90)*('Ventas del mes'!$B$4:$B$72=B90)*'Ventas del mes'!$C$4:$C$72),0)</f>
        <v/>
      </c>
      <c r="G90" s="9">
        <f>D90*F90</f>
        <v/>
      </c>
    </row>
    <row r="91">
      <c r="A91" s="6" t="inlineStr">
        <is>
          <t>DISHES_TOSTADAS</t>
        </is>
      </c>
      <c r="B91" s="6" t="inlineStr">
        <is>
          <t>TOMATE, AOVE, SAL CON QUESO (no)</t>
        </is>
      </c>
      <c r="C91" s="6" t="inlineStr">
        <is>
          <t>Queso de la sierra guadarrama (opcional)</t>
        </is>
      </c>
      <c r="D91" s="9" t="n">
        <v>0.025</v>
      </c>
      <c r="E91" s="6" t="inlineStr">
        <is>
          <t>KG</t>
        </is>
      </c>
      <c r="F91" s="6">
        <f>IFERROR(SUMPRODUCT(('Ventas del mes'!$A$4:$A$72=A91)*('Ventas del mes'!$B$4:$B$72=B91)*'Ventas del mes'!$C$4:$C$72),0)</f>
        <v/>
      </c>
      <c r="G91" s="9">
        <f>D91*F91</f>
        <v/>
      </c>
    </row>
    <row r="92">
      <c r="A92" s="6" t="inlineStr">
        <is>
          <t>DISHES_DULCES</t>
        </is>
      </c>
      <c r="B92" s="6" t="inlineStr">
        <is>
          <t>Yogur de granja verano</t>
        </is>
      </c>
      <c r="C92" s="6" t="inlineStr">
        <is>
          <t>Yogur de granja natural</t>
        </is>
      </c>
      <c r="D92" s="9" t="n">
        <v>0.18</v>
      </c>
      <c r="E92" s="6" t="inlineStr">
        <is>
          <t>KG</t>
        </is>
      </c>
      <c r="F92" s="6">
        <f>IFERROR(SUMPRODUCT(('Ventas del mes'!$A$4:$A$72=A92)*('Ventas del mes'!$B$4:$B$72=B92)*'Ventas del mes'!$C$4:$C$72),0)</f>
        <v/>
      </c>
      <c r="G92" s="9">
        <f>D92*F92</f>
        <v/>
      </c>
    </row>
    <row r="93">
      <c r="A93" s="6" t="inlineStr">
        <is>
          <t>DISHES_DULCES</t>
        </is>
      </c>
      <c r="B93" s="6" t="inlineStr">
        <is>
          <t>Yogur de granja verano</t>
        </is>
      </c>
      <c r="C93" s="6" t="inlineStr">
        <is>
          <t>Granola lady madrid</t>
        </is>
      </c>
      <c r="D93" s="9" t="n">
        <v>0.035</v>
      </c>
      <c r="E93" s="6" t="inlineStr">
        <is>
          <t>KG</t>
        </is>
      </c>
      <c r="F93" s="6">
        <f>IFERROR(SUMPRODUCT(('Ventas del mes'!$A$4:$A$72=A93)*('Ventas del mes'!$B$4:$B$72=B93)*'Ventas del mes'!$C$4:$C$72),0)</f>
        <v/>
      </c>
      <c r="G93" s="9">
        <f>D93*F93</f>
        <v/>
      </c>
    </row>
    <row r="94">
      <c r="A94" s="6" t="inlineStr">
        <is>
          <t>DISHES_DULCES</t>
        </is>
      </c>
      <c r="B94" s="6" t="inlineStr">
        <is>
          <t>Yogur de granja verano</t>
        </is>
      </c>
      <c r="C94" s="6" t="inlineStr">
        <is>
          <t>Melocotón (Verano)</t>
        </is>
      </c>
      <c r="D94" s="9" t="n">
        <v>0.6</v>
      </c>
      <c r="E94" s="6" t="inlineStr">
        <is>
          <t>KG</t>
        </is>
      </c>
      <c r="F94" s="6">
        <f>IFERROR(SUMPRODUCT(('Ventas del mes'!$A$4:$A$72=A94)*('Ventas del mes'!$B$4:$B$72=B94)*'Ventas del mes'!$C$4:$C$72),0)</f>
        <v/>
      </c>
      <c r="G94" s="9">
        <f>D94*F94</f>
        <v/>
      </c>
    </row>
    <row r="95">
      <c r="A95" s="6" t="inlineStr">
        <is>
          <t>DISHES_DULCES</t>
        </is>
      </c>
      <c r="B95" s="6" t="inlineStr">
        <is>
          <t>Yogur de granja verano</t>
        </is>
      </c>
      <c r="C95" s="6" t="inlineStr">
        <is>
          <t>Almendra tostada</t>
        </is>
      </c>
      <c r="D95" s="9" t="n">
        <v>0.005</v>
      </c>
      <c r="E95" s="6" t="inlineStr">
        <is>
          <t>KG</t>
        </is>
      </c>
      <c r="F95" s="6">
        <f>IFERROR(SUMPRODUCT(('Ventas del mes'!$A$4:$A$72=A95)*('Ventas del mes'!$B$4:$B$72=B95)*'Ventas del mes'!$C$4:$C$72),0)</f>
        <v/>
      </c>
      <c r="G95" s="9">
        <f>D95*F95</f>
        <v/>
      </c>
    </row>
    <row r="96">
      <c r="A96" s="6" t="inlineStr">
        <is>
          <t>DISHES_DULCES</t>
        </is>
      </c>
      <c r="B96" s="6" t="inlineStr">
        <is>
          <t>Yogur de granja Otoño</t>
        </is>
      </c>
      <c r="C96" s="6" t="inlineStr">
        <is>
          <t>Yogur de granja natural</t>
        </is>
      </c>
      <c r="D96" s="9" t="n">
        <v>0.18</v>
      </c>
      <c r="E96" s="6" t="inlineStr">
        <is>
          <t>KG</t>
        </is>
      </c>
      <c r="F96" s="6">
        <f>IFERROR(SUMPRODUCT(('Ventas del mes'!$A$4:$A$72=A96)*('Ventas del mes'!$B$4:$B$72=B96)*'Ventas del mes'!$C$4:$C$72),0)</f>
        <v/>
      </c>
      <c r="G96" s="9">
        <f>D96*F96</f>
        <v/>
      </c>
    </row>
    <row r="97">
      <c r="A97" s="6" t="inlineStr">
        <is>
          <t>DISHES_DULCES</t>
        </is>
      </c>
      <c r="B97" s="6" t="inlineStr">
        <is>
          <t>Yogur de granja Otoño</t>
        </is>
      </c>
      <c r="C97" s="6" t="inlineStr">
        <is>
          <t>Granola lady madrid</t>
        </is>
      </c>
      <c r="D97" s="9" t="n">
        <v>0.035</v>
      </c>
      <c r="E97" s="6" t="inlineStr">
        <is>
          <t>KG</t>
        </is>
      </c>
      <c r="F97" s="6">
        <f>IFERROR(SUMPRODUCT(('Ventas del mes'!$A$4:$A$72=A97)*('Ventas del mes'!$B$4:$B$72=B97)*'Ventas del mes'!$C$4:$C$72),0)</f>
        <v/>
      </c>
      <c r="G97" s="9">
        <f>D97*F97</f>
        <v/>
      </c>
    </row>
    <row r="98">
      <c r="A98" s="6" t="inlineStr">
        <is>
          <t>DISHES_DULCES</t>
        </is>
      </c>
      <c r="B98" s="6" t="inlineStr">
        <is>
          <t>Yogur de granja Otoño</t>
        </is>
      </c>
      <c r="C98" s="6" t="inlineStr">
        <is>
          <t>Pera asada</t>
        </is>
      </c>
      <c r="D98" s="9" t="n">
        <v>0.6</v>
      </c>
      <c r="E98" s="6" t="inlineStr">
        <is>
          <t>KG</t>
        </is>
      </c>
      <c r="F98" s="6">
        <f>IFERROR(SUMPRODUCT(('Ventas del mes'!$A$4:$A$72=A98)*('Ventas del mes'!$B$4:$B$72=B98)*'Ventas del mes'!$C$4:$C$72),0)</f>
        <v/>
      </c>
      <c r="G98" s="9">
        <f>D98*F98</f>
        <v/>
      </c>
    </row>
    <row r="99">
      <c r="A99" s="6" t="inlineStr">
        <is>
          <t>DISHES_DULCES</t>
        </is>
      </c>
      <c r="B99" s="6" t="inlineStr">
        <is>
          <t>Yogur de granja Otoño</t>
        </is>
      </c>
      <c r="C99" s="6" t="inlineStr">
        <is>
          <t>Miel</t>
        </is>
      </c>
      <c r="D99" s="9" t="n">
        <v>0.005</v>
      </c>
      <c r="E99" s="6" t="inlineStr">
        <is>
          <t>KG</t>
        </is>
      </c>
      <c r="F99" s="6">
        <f>IFERROR(SUMPRODUCT(('Ventas del mes'!$A$4:$A$72=A99)*('Ventas del mes'!$B$4:$B$72=B99)*'Ventas del mes'!$C$4:$C$72),0)</f>
        <v/>
      </c>
      <c r="G99" s="9">
        <f>D99*F99</f>
        <v/>
      </c>
    </row>
    <row r="100">
      <c r="A100" s="6" t="inlineStr">
        <is>
          <t>DISHES_DULCES</t>
        </is>
      </c>
      <c r="B100" s="6" t="inlineStr">
        <is>
          <t>YOGUR DE GRANJA PRIMAVERA</t>
        </is>
      </c>
      <c r="C100" s="6" t="inlineStr">
        <is>
          <t>Yogur de granja natural</t>
        </is>
      </c>
      <c r="D100" s="9" t="n">
        <v>0.18</v>
      </c>
      <c r="E100" s="6" t="inlineStr">
        <is>
          <t>KG</t>
        </is>
      </c>
      <c r="F100" s="6">
        <f>IFERROR(SUMPRODUCT(('Ventas del mes'!$A$4:$A$72=A100)*('Ventas del mes'!$B$4:$B$72=B100)*'Ventas del mes'!$C$4:$C$72),0)</f>
        <v/>
      </c>
      <c r="G100" s="9">
        <f>D100*F100</f>
        <v/>
      </c>
    </row>
    <row r="101">
      <c r="A101" s="6" t="inlineStr">
        <is>
          <t>DISHES_DULCES</t>
        </is>
      </c>
      <c r="B101" s="6" t="inlineStr">
        <is>
          <t>YOGUR DE GRANJA PRIMAVERA</t>
        </is>
      </c>
      <c r="C101" s="6" t="inlineStr">
        <is>
          <t>Granola lady madrid</t>
        </is>
      </c>
      <c r="D101" s="9" t="n">
        <v>0.035</v>
      </c>
      <c r="E101" s="6" t="inlineStr">
        <is>
          <t>KG</t>
        </is>
      </c>
      <c r="F101" s="6">
        <f>IFERROR(SUMPRODUCT(('Ventas del mes'!$A$4:$A$72=A101)*('Ventas del mes'!$B$4:$B$72=B101)*'Ventas del mes'!$C$4:$C$72),0)</f>
        <v/>
      </c>
      <c r="G101" s="9">
        <f>D101*F101</f>
        <v/>
      </c>
    </row>
    <row r="102">
      <c r="A102" s="6" t="inlineStr">
        <is>
          <t>DISHES_DULCES</t>
        </is>
      </c>
      <c r="B102" s="6" t="inlineStr">
        <is>
          <t>YOGUR DE GRANJA PRIMAVERA</t>
        </is>
      </c>
      <c r="C102" s="6" t="inlineStr">
        <is>
          <t>Fresas</t>
        </is>
      </c>
      <c r="D102" s="9" t="n">
        <v>0.6</v>
      </c>
      <c r="E102" s="6" t="inlineStr">
        <is>
          <t>KG</t>
        </is>
      </c>
      <c r="F102" s="6">
        <f>IFERROR(SUMPRODUCT(('Ventas del mes'!$A$4:$A$72=A102)*('Ventas del mes'!$B$4:$B$72=B102)*'Ventas del mes'!$C$4:$C$72),0)</f>
        <v/>
      </c>
      <c r="G102" s="9">
        <f>D102*F102</f>
        <v/>
      </c>
    </row>
    <row r="103">
      <c r="A103" s="6" t="inlineStr">
        <is>
          <t>DISHES_DULCES</t>
        </is>
      </c>
      <c r="B103" s="6" t="inlineStr">
        <is>
          <t>YOGUR DE GRANJA PRIMAVERA</t>
        </is>
      </c>
      <c r="C103" s="6" t="inlineStr">
        <is>
          <t>Ralladura de limón</t>
        </is>
      </c>
      <c r="D103" s="9" t="n">
        <v>0.005</v>
      </c>
      <c r="E103" s="6" t="inlineStr">
        <is>
          <t>KG</t>
        </is>
      </c>
      <c r="F103" s="6">
        <f>IFERROR(SUMPRODUCT(('Ventas del mes'!$A$4:$A$72=A103)*('Ventas del mes'!$B$4:$B$72=B103)*'Ventas del mes'!$C$4:$C$72),0)</f>
        <v/>
      </c>
      <c r="G103" s="9">
        <f>D103*F103</f>
        <v/>
      </c>
    </row>
    <row r="104">
      <c r="A104" s="6" t="inlineStr">
        <is>
          <t>DISHES_DULCES</t>
        </is>
      </c>
      <c r="B104" s="6" t="inlineStr">
        <is>
          <t>YOGUR DE GRANJA INVIERNO</t>
        </is>
      </c>
      <c r="C104" s="6" t="inlineStr">
        <is>
          <t>Yogur de granja natural</t>
        </is>
      </c>
      <c r="D104" s="9" t="n">
        <v>0.18</v>
      </c>
      <c r="E104" s="6" t="inlineStr">
        <is>
          <t>KG</t>
        </is>
      </c>
      <c r="F104" s="6">
        <f>IFERROR(SUMPRODUCT(('Ventas del mes'!$A$4:$A$72=A104)*('Ventas del mes'!$B$4:$B$72=B104)*'Ventas del mes'!$C$4:$C$72),0)</f>
        <v/>
      </c>
      <c r="G104" s="9">
        <f>D104*F104</f>
        <v/>
      </c>
    </row>
    <row r="105">
      <c r="A105" s="6" t="inlineStr">
        <is>
          <t>DISHES_DULCES</t>
        </is>
      </c>
      <c r="B105" s="6" t="inlineStr">
        <is>
          <t>YOGUR DE GRANJA INVIERNO</t>
        </is>
      </c>
      <c r="C105" s="6" t="inlineStr">
        <is>
          <t>Granola lady madrid</t>
        </is>
      </c>
      <c r="D105" s="9" t="n">
        <v>0.035</v>
      </c>
      <c r="E105" s="6" t="inlineStr">
        <is>
          <t>KG</t>
        </is>
      </c>
      <c r="F105" s="6">
        <f>IFERROR(SUMPRODUCT(('Ventas del mes'!$A$4:$A$72=A105)*('Ventas del mes'!$B$4:$B$72=B105)*'Ventas del mes'!$C$4:$C$72),0)</f>
        <v/>
      </c>
      <c r="G105" s="9">
        <f>D105*F105</f>
        <v/>
      </c>
    </row>
    <row r="106">
      <c r="A106" s="6" t="inlineStr">
        <is>
          <t>DISHES_DULCES</t>
        </is>
      </c>
      <c r="B106" s="6" t="inlineStr">
        <is>
          <t>YOGUR DE GRANJA INVIERNO</t>
        </is>
      </c>
      <c r="C106" s="6" t="inlineStr">
        <is>
          <t>Manzana asada</t>
        </is>
      </c>
      <c r="D106" s="9" t="n">
        <v>0.6</v>
      </c>
      <c r="E106" s="6" t="inlineStr">
        <is>
          <t>KG</t>
        </is>
      </c>
      <c r="F106" s="6">
        <f>IFERROR(SUMPRODUCT(('Ventas del mes'!$A$4:$A$72=A106)*('Ventas del mes'!$B$4:$B$72=B106)*'Ventas del mes'!$C$4:$C$72),0)</f>
        <v/>
      </c>
      <c r="G106" s="9">
        <f>D106*F106</f>
        <v/>
      </c>
    </row>
    <row r="107">
      <c r="A107" s="6" t="inlineStr">
        <is>
          <t>DISHES_DULCES</t>
        </is>
      </c>
      <c r="B107" s="6" t="inlineStr">
        <is>
          <t>YOGUR DE GRANJA INVIERNO</t>
        </is>
      </c>
      <c r="C107" s="6" t="inlineStr">
        <is>
          <t>Almendra laminada</t>
        </is>
      </c>
      <c r="D107" s="9" t="n">
        <v>0.005</v>
      </c>
      <c r="E107" s="6" t="inlineStr">
        <is>
          <t>KG</t>
        </is>
      </c>
      <c r="F107" s="6">
        <f>IFERROR(SUMPRODUCT(('Ventas del mes'!$A$4:$A$72=A107)*('Ventas del mes'!$B$4:$B$72=B107)*'Ventas del mes'!$C$4:$C$72),0)</f>
        <v/>
      </c>
      <c r="G107" s="9">
        <f>D107*F107</f>
        <v/>
      </c>
    </row>
    <row r="108">
      <c r="A108" s="6" t="inlineStr">
        <is>
          <t>DISHES_DULCES</t>
        </is>
      </c>
      <c r="B108" s="6" t="inlineStr">
        <is>
          <t>YOGUR DE GRANJA INVIERNO</t>
        </is>
      </c>
      <c r="C108" s="6" t="inlineStr">
        <is>
          <t>Canela</t>
        </is>
      </c>
      <c r="D108" s="9" t="n">
        <v>0.002</v>
      </c>
      <c r="E108" s="6" t="inlineStr">
        <is>
          <t>KG</t>
        </is>
      </c>
      <c r="F108" s="6">
        <f>IFERROR(SUMPRODUCT(('Ventas del mes'!$A$4:$A$72=A108)*('Ventas del mes'!$B$4:$B$72=B108)*'Ventas del mes'!$C$4:$C$72),0)</f>
        <v/>
      </c>
      <c r="G108" s="9">
        <f>D108*F108</f>
        <v/>
      </c>
    </row>
    <row r="109">
      <c r="A109" s="6" t="inlineStr">
        <is>
          <t>DISHES_DULCES</t>
        </is>
      </c>
      <c r="B109" s="6" t="inlineStr">
        <is>
          <t>YOGUR DE GRANJA INVIERNO</t>
        </is>
      </c>
      <c r="C109" s="6" t="inlineStr">
        <is>
          <t>Miel</t>
        </is>
      </c>
      <c r="D109" s="9" t="n">
        <v>0.005</v>
      </c>
      <c r="E109" s="6" t="inlineStr">
        <is>
          <t>KG</t>
        </is>
      </c>
      <c r="F109" s="6">
        <f>IFERROR(SUMPRODUCT(('Ventas del mes'!$A$4:$A$72=A109)*('Ventas del mes'!$B$4:$B$72=B109)*'Ventas del mes'!$C$4:$C$72),0)</f>
        <v/>
      </c>
      <c r="G109" s="9">
        <f>D109*F109</f>
        <v/>
      </c>
    </row>
    <row r="110">
      <c r="A110" s="6" t="inlineStr">
        <is>
          <t>DISHES_DULCES</t>
        </is>
      </c>
      <c r="B110" s="6" t="inlineStr">
        <is>
          <t>TORRIJA DE LECHE MERENGADA</t>
        </is>
      </c>
      <c r="C110" s="6" t="inlineStr">
        <is>
          <t>Pan brioche para torrija</t>
        </is>
      </c>
      <c r="D110" s="9" t="n">
        <v>0.12</v>
      </c>
      <c r="E110" s="6" t="inlineStr">
        <is>
          <t>KG</t>
        </is>
      </c>
      <c r="F110" s="6">
        <f>IFERROR(SUMPRODUCT(('Ventas del mes'!$A$4:$A$72=A110)*('Ventas del mes'!$B$4:$B$72=B110)*'Ventas del mes'!$C$4:$C$72),0)</f>
        <v/>
      </c>
      <c r="G110" s="9">
        <f>D110*F110</f>
        <v/>
      </c>
    </row>
    <row r="111">
      <c r="A111" s="6" t="inlineStr">
        <is>
          <t>DISHES_DULCES</t>
        </is>
      </c>
      <c r="B111" s="6" t="inlineStr">
        <is>
          <t>TORRIJA DE LECHE MERENGADA</t>
        </is>
      </c>
      <c r="C111" s="6" t="inlineStr">
        <is>
          <t>Crema de leche merengada</t>
        </is>
      </c>
      <c r="D111" s="9" t="n">
        <v>0.03</v>
      </c>
      <c r="E111" s="6" t="inlineStr">
        <is>
          <t>KG</t>
        </is>
      </c>
      <c r="F111" s="6">
        <f>IFERROR(SUMPRODUCT(('Ventas del mes'!$A$4:$A$72=A111)*('Ventas del mes'!$B$4:$B$72=B111)*'Ventas del mes'!$C$4:$C$72),0)</f>
        <v/>
      </c>
      <c r="G111" s="9">
        <f>D111*F111</f>
        <v/>
      </c>
    </row>
    <row r="112">
      <c r="A112" s="6" t="inlineStr">
        <is>
          <t>DISHES_DULCES</t>
        </is>
      </c>
      <c r="B112" s="6" t="inlineStr">
        <is>
          <t>TORRIJA DE LECHE MERENGADA</t>
        </is>
      </c>
      <c r="C112" s="6" t="inlineStr">
        <is>
          <t>Ralladura de limon</t>
        </is>
      </c>
      <c r="D112" s="9" t="n">
        <v>0.005</v>
      </c>
      <c r="E112" s="6" t="inlineStr">
        <is>
          <t>KG</t>
        </is>
      </c>
      <c r="F112" s="6">
        <f>IFERROR(SUMPRODUCT(('Ventas del mes'!$A$4:$A$72=A112)*('Ventas del mes'!$B$4:$B$72=B112)*'Ventas del mes'!$C$4:$C$72),0)</f>
        <v/>
      </c>
      <c r="G112" s="9">
        <f>D112*F112</f>
        <v/>
      </c>
    </row>
    <row r="113">
      <c r="A113" s="6" t="inlineStr">
        <is>
          <t>DISHES_DULCES</t>
        </is>
      </c>
      <c r="B113" s="6" t="inlineStr">
        <is>
          <t>TORRIJA DE LECHE MERENGADA</t>
        </is>
      </c>
      <c r="C113" s="6" t="inlineStr">
        <is>
          <t>Almendra laminada</t>
        </is>
      </c>
      <c r="D113" s="9" t="n">
        <v>0.005</v>
      </c>
      <c r="E113" s="6" t="inlineStr">
        <is>
          <t>KG</t>
        </is>
      </c>
      <c r="F113" s="6">
        <f>IFERROR(SUMPRODUCT(('Ventas del mes'!$A$4:$A$72=A113)*('Ventas del mes'!$B$4:$B$72=B113)*'Ventas del mes'!$C$4:$C$72),0)</f>
        <v/>
      </c>
      <c r="G113" s="9">
        <f>D113*F113</f>
        <v/>
      </c>
    </row>
    <row r="114">
      <c r="A114" s="6" t="inlineStr">
        <is>
          <t>DISHES_DULCES</t>
        </is>
      </c>
      <c r="B114" s="6" t="inlineStr">
        <is>
          <t>TORRIJA DE LECHE MERENGADA</t>
        </is>
      </c>
      <c r="C114" s="6" t="inlineStr">
        <is>
          <t>Leche infusionada</t>
        </is>
      </c>
      <c r="D114" s="9" t="n">
        <v>0.2</v>
      </c>
      <c r="E114" s="6" t="inlineStr">
        <is>
          <t>KG</t>
        </is>
      </c>
      <c r="F114" s="6">
        <f>IFERROR(SUMPRODUCT(('Ventas del mes'!$A$4:$A$72=A114)*('Ventas del mes'!$B$4:$B$72=B114)*'Ventas del mes'!$C$4:$C$72),0)</f>
        <v/>
      </c>
      <c r="G114" s="9">
        <f>D114*F114</f>
        <v/>
      </c>
    </row>
    <row r="115">
      <c r="A115" s="6" t="inlineStr">
        <is>
          <t>DISHES_DULCES</t>
        </is>
      </c>
      <c r="B115" s="6" t="inlineStr">
        <is>
          <t>TORRIJA DE CAFÉ</t>
        </is>
      </c>
      <c r="C115" s="6" t="inlineStr">
        <is>
          <t>Pan brioche para torrija</t>
        </is>
      </c>
      <c r="D115" s="9" t="n">
        <v>0.12</v>
      </c>
      <c r="E115" s="6" t="inlineStr">
        <is>
          <t>KG</t>
        </is>
      </c>
      <c r="F115" s="6">
        <f>IFERROR(SUMPRODUCT(('Ventas del mes'!$A$4:$A$72=A115)*('Ventas del mes'!$B$4:$B$72=B115)*'Ventas del mes'!$C$4:$C$72),0)</f>
        <v/>
      </c>
      <c r="G115" s="9">
        <f>D115*F115</f>
        <v/>
      </c>
    </row>
    <row r="116">
      <c r="A116" s="6" t="inlineStr">
        <is>
          <t>DISHES_DULCES</t>
        </is>
      </c>
      <c r="B116" s="6" t="inlineStr">
        <is>
          <t>TORRIJA DE CAFÉ</t>
        </is>
      </c>
      <c r="C116" s="6" t="inlineStr">
        <is>
          <t>Crema de café</t>
        </is>
      </c>
      <c r="D116" s="9" t="n">
        <v>0.03</v>
      </c>
      <c r="E116" s="6" t="inlineStr">
        <is>
          <t>KG</t>
        </is>
      </c>
      <c r="F116" s="6">
        <f>IFERROR(SUMPRODUCT(('Ventas del mes'!$A$4:$A$72=A116)*('Ventas del mes'!$B$4:$B$72=B116)*'Ventas del mes'!$C$4:$C$72),0)</f>
        <v/>
      </c>
      <c r="G116" s="9">
        <f>D116*F116</f>
        <v/>
      </c>
    </row>
    <row r="117">
      <c r="A117" s="6" t="inlineStr">
        <is>
          <t>DISHES_DULCES</t>
        </is>
      </c>
      <c r="B117" s="6" t="inlineStr">
        <is>
          <t>TORRIJA DE CAFÉ</t>
        </is>
      </c>
      <c r="C117" s="6" t="inlineStr">
        <is>
          <t>cacao en polvo</t>
        </is>
      </c>
      <c r="D117" s="9" t="n">
        <v>0.005</v>
      </c>
      <c r="E117" s="6" t="inlineStr">
        <is>
          <t>KG</t>
        </is>
      </c>
      <c r="F117" s="6">
        <f>IFERROR(SUMPRODUCT(('Ventas del mes'!$A$4:$A$72=A117)*('Ventas del mes'!$B$4:$B$72=B117)*'Ventas del mes'!$C$4:$C$72),0)</f>
        <v/>
      </c>
      <c r="G117" s="9">
        <f>D117*F117</f>
        <v/>
      </c>
    </row>
    <row r="118">
      <c r="A118" s="6" t="inlineStr">
        <is>
          <t>DISHES_DULCES</t>
        </is>
      </c>
      <c r="B118" s="6" t="inlineStr">
        <is>
          <t>TORRIJA DE CAFÉ</t>
        </is>
      </c>
      <c r="C118" s="6" t="inlineStr">
        <is>
          <t>Almendra laminada</t>
        </is>
      </c>
      <c r="D118" s="9" t="n">
        <v>0.005</v>
      </c>
      <c r="E118" s="6" t="inlineStr">
        <is>
          <t>KG</t>
        </is>
      </c>
      <c r="F118" s="6">
        <f>IFERROR(SUMPRODUCT(('Ventas del mes'!$A$4:$A$72=A118)*('Ventas del mes'!$B$4:$B$72=B118)*'Ventas del mes'!$C$4:$C$72),0)</f>
        <v/>
      </c>
      <c r="G118" s="9">
        <f>D118*F118</f>
        <v/>
      </c>
    </row>
    <row r="119">
      <c r="A119" s="6" t="inlineStr">
        <is>
          <t>DISHES_DULCES</t>
        </is>
      </c>
      <c r="B119" s="6" t="inlineStr">
        <is>
          <t>TORRIJA DE CAFÉ</t>
        </is>
      </c>
      <c r="C119" s="6" t="inlineStr">
        <is>
          <t>Leche infusionada</t>
        </is>
      </c>
      <c r="D119" s="9" t="n">
        <v>0.2</v>
      </c>
      <c r="E119" s="6" t="inlineStr">
        <is>
          <t>KG</t>
        </is>
      </c>
      <c r="F119" s="6">
        <f>IFERROR(SUMPRODUCT(('Ventas del mes'!$A$4:$A$72=A119)*('Ventas del mes'!$B$4:$B$72=B119)*'Ventas del mes'!$C$4:$C$72),0)</f>
        <v/>
      </c>
      <c r="G119" s="9">
        <f>D119*F119</f>
        <v/>
      </c>
    </row>
    <row r="120">
      <c r="A120" s="6" t="inlineStr">
        <is>
          <t>DISHES_DULCES</t>
        </is>
      </c>
      <c r="B120" s="6" t="inlineStr">
        <is>
          <t>TORRIJA KIDS</t>
        </is>
      </c>
      <c r="C120" s="6" t="inlineStr">
        <is>
          <t>Pan brioche para torrija</t>
        </is>
      </c>
      <c r="D120" s="9" t="n">
        <v>0.12</v>
      </c>
      <c r="E120" s="6" t="inlineStr">
        <is>
          <t>KG</t>
        </is>
      </c>
      <c r="F120" s="6">
        <f>IFERROR(SUMPRODUCT(('Ventas del mes'!$A$4:$A$72=A120)*('Ventas del mes'!$B$4:$B$72=B120)*'Ventas del mes'!$C$4:$C$72),0)</f>
        <v/>
      </c>
      <c r="G120" s="9">
        <f>D120*F120</f>
        <v/>
      </c>
    </row>
    <row r="121">
      <c r="A121" s="6" t="inlineStr">
        <is>
          <t>DISHES_DULCES</t>
        </is>
      </c>
      <c r="B121" s="6" t="inlineStr">
        <is>
          <t>TORRIJA KIDS</t>
        </is>
      </c>
      <c r="C121" s="6" t="inlineStr">
        <is>
          <t>Crema de chocolate</t>
        </is>
      </c>
      <c r="D121" s="9" t="n">
        <v>0.03</v>
      </c>
      <c r="E121" s="6" t="inlineStr">
        <is>
          <t>KG</t>
        </is>
      </c>
      <c r="F121" s="6">
        <f>IFERROR(SUMPRODUCT(('Ventas del mes'!$A$4:$A$72=A121)*('Ventas del mes'!$B$4:$B$72=B121)*'Ventas del mes'!$C$4:$C$72),0)</f>
        <v/>
      </c>
      <c r="G121" s="9">
        <f>D121*F121</f>
        <v/>
      </c>
    </row>
    <row r="122">
      <c r="A122" s="6" t="inlineStr">
        <is>
          <t>DISHES_DULCES</t>
        </is>
      </c>
      <c r="B122" s="6" t="inlineStr">
        <is>
          <t>TORRIJA KIDS</t>
        </is>
      </c>
      <c r="C122" s="6" t="inlineStr">
        <is>
          <t>Leche infusionada</t>
        </is>
      </c>
      <c r="D122" s="9" t="n">
        <v>0.2</v>
      </c>
      <c r="E122" s="6" t="inlineStr">
        <is>
          <t>KG</t>
        </is>
      </c>
      <c r="F122" s="6">
        <f>IFERROR(SUMPRODUCT(('Ventas del mes'!$A$4:$A$72=A122)*('Ventas del mes'!$B$4:$B$72=B122)*'Ventas del mes'!$C$4:$C$72),0)</f>
        <v/>
      </c>
      <c r="G122" s="9">
        <f>D122*F122</f>
        <v/>
      </c>
    </row>
    <row r="123">
      <c r="A123" s="6" t="inlineStr">
        <is>
          <t>DISHES_BRIOCHE</t>
        </is>
      </c>
      <c r="B123" s="6" t="inlineStr">
        <is>
          <t>TORTILLA Y QUESO DE GUADARRAMA</t>
        </is>
      </c>
      <c r="C123" s="6" t="inlineStr">
        <is>
          <t>Brioche</t>
        </is>
      </c>
      <c r="D123" s="9" t="n">
        <v>0.09</v>
      </c>
      <c r="E123" s="6" t="inlineStr">
        <is>
          <t>KG</t>
        </is>
      </c>
      <c r="F123" s="6">
        <f>IFERROR(SUMPRODUCT(('Ventas del mes'!$A$4:$A$72=A123)*('Ventas del mes'!$B$4:$B$72=B123)*'Ventas del mes'!$C$4:$C$72),0)</f>
        <v/>
      </c>
      <c r="G123" s="9">
        <f>D123*F123</f>
        <v/>
      </c>
    </row>
    <row r="124">
      <c r="A124" s="6" t="inlineStr">
        <is>
          <t>DISHES_BRIOCHE</t>
        </is>
      </c>
      <c r="B124" s="6" t="inlineStr">
        <is>
          <t>TORTILLA Y QUESO DE GUADARRAMA</t>
        </is>
      </c>
      <c r="C124" s="6" t="inlineStr">
        <is>
          <t>Tortilla de patata</t>
        </is>
      </c>
      <c r="D124" s="9" t="n">
        <v>0.12</v>
      </c>
      <c r="E124" s="6" t="inlineStr">
        <is>
          <t>UNIDAD</t>
        </is>
      </c>
      <c r="F124" s="6">
        <f>IFERROR(SUMPRODUCT(('Ventas del mes'!$A$4:$A$72=A124)*('Ventas del mes'!$B$4:$B$72=B124)*'Ventas del mes'!$C$4:$C$72),0)</f>
        <v/>
      </c>
      <c r="G124" s="9">
        <f>D124*F124</f>
        <v/>
      </c>
    </row>
    <row r="125">
      <c r="A125" s="6" t="inlineStr">
        <is>
          <t>DISHES_BRIOCHE</t>
        </is>
      </c>
      <c r="B125" s="6" t="inlineStr">
        <is>
          <t>TORTILLA Y QUESO DE GUADARRAMA</t>
        </is>
      </c>
      <c r="C125" s="6" t="inlineStr">
        <is>
          <t>Espuma de queso guadarrama</t>
        </is>
      </c>
      <c r="D125" s="9" t="n">
        <v>0.025</v>
      </c>
      <c r="E125" s="6" t="inlineStr">
        <is>
          <t>KG</t>
        </is>
      </c>
      <c r="F125" s="6">
        <f>IFERROR(SUMPRODUCT(('Ventas del mes'!$A$4:$A$72=A125)*('Ventas del mes'!$B$4:$B$72=B125)*'Ventas del mes'!$C$4:$C$72),0)</f>
        <v/>
      </c>
      <c r="G125" s="9">
        <f>D125*F125</f>
        <v/>
      </c>
    </row>
    <row r="126">
      <c r="A126" s="6" t="inlineStr">
        <is>
          <t>DISHES_BRIOCHE</t>
        </is>
      </c>
      <c r="B126" s="6" t="inlineStr">
        <is>
          <t>TORTILLA Y QUESO DE GUADARRAMA</t>
        </is>
      </c>
      <c r="C126" s="6" t="inlineStr">
        <is>
          <t>AOVE</t>
        </is>
      </c>
      <c r="D126" s="9" t="n">
        <v>0.005</v>
      </c>
      <c r="E126" s="6" t="inlineStr">
        <is>
          <t>KG</t>
        </is>
      </c>
      <c r="F126" s="6">
        <f>IFERROR(SUMPRODUCT(('Ventas del mes'!$A$4:$A$72=A126)*('Ventas del mes'!$B$4:$B$72=B126)*'Ventas del mes'!$C$4:$C$72),0)</f>
        <v/>
      </c>
      <c r="G126" s="9">
        <f>D126*F126</f>
        <v/>
      </c>
    </row>
    <row r="127">
      <c r="A127" s="6" t="inlineStr">
        <is>
          <t>DISHES_BRIOCHE</t>
        </is>
      </c>
      <c r="B127" s="6" t="inlineStr">
        <is>
          <t>TORTILLA Y QUESO DE GUADARRAMA</t>
        </is>
      </c>
      <c r="C127" s="6" t="inlineStr">
        <is>
          <t>Cebollino fresco picado</t>
        </is>
      </c>
      <c r="D127" s="9" t="n">
        <v>0.005</v>
      </c>
      <c r="E127" s="6" t="inlineStr">
        <is>
          <t>KG</t>
        </is>
      </c>
      <c r="F127" s="6">
        <f>IFERROR(SUMPRODUCT(('Ventas del mes'!$A$4:$A$72=A127)*('Ventas del mes'!$B$4:$B$72=B127)*'Ventas del mes'!$C$4:$C$72),0)</f>
        <v/>
      </c>
      <c r="G127" s="9">
        <f>D127*F127</f>
        <v/>
      </c>
    </row>
    <row r="128">
      <c r="A128" s="6" t="inlineStr">
        <is>
          <t>DISHES_BRIOCHE</t>
        </is>
      </c>
      <c r="B128" s="6" t="inlineStr">
        <is>
          <t>PAPADA IBÉRICA</t>
        </is>
      </c>
      <c r="C128" s="6" t="inlineStr">
        <is>
          <t>Brioche</t>
        </is>
      </c>
      <c r="D128" s="9" t="n">
        <v>0.09</v>
      </c>
      <c r="E128" s="6" t="inlineStr">
        <is>
          <t>KG</t>
        </is>
      </c>
      <c r="F128" s="6">
        <f>IFERROR(SUMPRODUCT(('Ventas del mes'!$A$4:$A$72=A128)*('Ventas del mes'!$B$4:$B$72=B128)*'Ventas del mes'!$C$4:$C$72),0)</f>
        <v/>
      </c>
      <c r="G128" s="9">
        <f>D128*F128</f>
        <v/>
      </c>
    </row>
    <row r="129">
      <c r="A129" s="6" t="inlineStr">
        <is>
          <t>DISHES_BRIOCHE</t>
        </is>
      </c>
      <c r="B129" s="6" t="inlineStr">
        <is>
          <t>PAPADA IBÉRICA</t>
        </is>
      </c>
      <c r="C129" s="6" t="inlineStr">
        <is>
          <t>Papada ibérica confitada</t>
        </is>
      </c>
      <c r="D129" s="9" t="n">
        <v>0.07000000000000001</v>
      </c>
      <c r="E129" s="6" t="inlineStr">
        <is>
          <t>KG</t>
        </is>
      </c>
      <c r="F129" s="6">
        <f>IFERROR(SUMPRODUCT(('Ventas del mes'!$A$4:$A$72=A129)*('Ventas del mes'!$B$4:$B$72=B129)*'Ventas del mes'!$C$4:$C$72),0)</f>
        <v/>
      </c>
      <c r="G129" s="9">
        <f>D129*F129</f>
        <v/>
      </c>
    </row>
    <row r="130">
      <c r="A130" s="6" t="inlineStr">
        <is>
          <t>DISHES_BRIOCHE</t>
        </is>
      </c>
      <c r="B130" s="6" t="inlineStr">
        <is>
          <t>PAPADA IBÉRICA</t>
        </is>
      </c>
      <c r="C130" s="6" t="inlineStr">
        <is>
          <t>Pimiento rojo asado</t>
        </is>
      </c>
      <c r="D130" s="9" t="n">
        <v>0.03</v>
      </c>
      <c r="E130" s="6" t="inlineStr">
        <is>
          <t>KG</t>
        </is>
      </c>
      <c r="F130" s="6">
        <f>IFERROR(SUMPRODUCT(('Ventas del mes'!$A$4:$A$72=A130)*('Ventas del mes'!$B$4:$B$72=B130)*'Ventas del mes'!$C$4:$C$72),0)</f>
        <v/>
      </c>
      <c r="G130" s="9">
        <f>D130*F130</f>
        <v/>
      </c>
    </row>
    <row r="131">
      <c r="A131" s="6" t="inlineStr">
        <is>
          <t>DISHES_BRIOCHE</t>
        </is>
      </c>
      <c r="B131" s="6" t="inlineStr">
        <is>
          <t>PAPADA IBÉRICA</t>
        </is>
      </c>
      <c r="C131" s="6" t="inlineStr">
        <is>
          <t>Piparras laminadas</t>
        </is>
      </c>
      <c r="D131" s="9" t="n">
        <v>0.008</v>
      </c>
      <c r="E131" s="6" t="inlineStr">
        <is>
          <t>KG</t>
        </is>
      </c>
      <c r="F131" s="6">
        <f>IFERROR(SUMPRODUCT(('Ventas del mes'!$A$4:$A$72=A131)*('Ventas del mes'!$B$4:$B$72=B131)*'Ventas del mes'!$C$4:$C$72),0)</f>
        <v/>
      </c>
      <c r="G131" s="9">
        <f>D131*F131</f>
        <v/>
      </c>
    </row>
    <row r="132">
      <c r="A132" s="6" t="inlineStr">
        <is>
          <t>DISHES_BRIOCHE</t>
        </is>
      </c>
      <c r="B132" s="6" t="inlineStr">
        <is>
          <t>PAPADA IBÉRICA</t>
        </is>
      </c>
      <c r="C132" s="6" t="inlineStr">
        <is>
          <t>mouse de piparras</t>
        </is>
      </c>
      <c r="D132" s="9" t="n">
        <v>0.005</v>
      </c>
      <c r="E132" s="6" t="inlineStr">
        <is>
          <t>0.05</t>
        </is>
      </c>
      <c r="F132" s="6">
        <f>IFERROR(SUMPRODUCT(('Ventas del mes'!$A$4:$A$72=A132)*('Ventas del mes'!$B$4:$B$72=B132)*'Ventas del mes'!$C$4:$C$72),0)</f>
        <v/>
      </c>
      <c r="G132" s="9">
        <f>D132*F132</f>
        <v/>
      </c>
    </row>
    <row r="133">
      <c r="A133" s="6" t="inlineStr">
        <is>
          <t>DISHES_BRIOCHE</t>
        </is>
      </c>
      <c r="B133" s="6" t="inlineStr">
        <is>
          <t>PAPADA IBÉRICA</t>
        </is>
      </c>
      <c r="C133" s="6" t="inlineStr">
        <is>
          <t>AOVE</t>
        </is>
      </c>
      <c r="D133" s="9" t="n">
        <v>0.005</v>
      </c>
      <c r="E133" s="6" t="inlineStr">
        <is>
          <t>L</t>
        </is>
      </c>
      <c r="F133" s="6">
        <f>IFERROR(SUMPRODUCT(('Ventas del mes'!$A$4:$A$72=A133)*('Ventas del mes'!$B$4:$B$72=B133)*'Ventas del mes'!$C$4:$C$72),0)</f>
        <v/>
      </c>
      <c r="G133" s="9">
        <f>D133*F133</f>
        <v/>
      </c>
    </row>
    <row r="134">
      <c r="A134" s="6" t="inlineStr">
        <is>
          <t>DISHES_BRIOCHE</t>
        </is>
      </c>
      <c r="B134" s="6" t="inlineStr">
        <is>
          <t>BIKINI</t>
        </is>
      </c>
      <c r="C134" s="6" t="inlineStr">
        <is>
          <t>Brioche</t>
        </is>
      </c>
      <c r="D134" s="9" t="n">
        <v>0.9</v>
      </c>
      <c r="E134" s="6" t="inlineStr">
        <is>
          <t>KG</t>
        </is>
      </c>
      <c r="F134" s="6">
        <f>IFERROR(SUMPRODUCT(('Ventas del mes'!$A$4:$A$72=A134)*('Ventas del mes'!$B$4:$B$72=B134)*'Ventas del mes'!$C$4:$C$72),0)</f>
        <v/>
      </c>
      <c r="G134" s="9">
        <f>D134*F134</f>
        <v/>
      </c>
    </row>
    <row r="135">
      <c r="A135" s="6" t="inlineStr">
        <is>
          <t>DISHES_BRIOCHE</t>
        </is>
      </c>
      <c r="B135" s="6" t="inlineStr">
        <is>
          <t>BIKINI</t>
        </is>
      </c>
      <c r="C135" s="6" t="inlineStr">
        <is>
          <t>Jamón cocido</t>
        </is>
      </c>
      <c r="D135" s="9" t="n">
        <v>0.03</v>
      </c>
      <c r="E135" s="6" t="inlineStr">
        <is>
          <t>KG</t>
        </is>
      </c>
      <c r="F135" s="6">
        <f>IFERROR(SUMPRODUCT(('Ventas del mes'!$A$4:$A$72=A135)*('Ventas del mes'!$B$4:$B$72=B135)*'Ventas del mes'!$C$4:$C$72),0)</f>
        <v/>
      </c>
      <c r="G135" s="9">
        <f>D135*F135</f>
        <v/>
      </c>
    </row>
    <row r="136">
      <c r="A136" s="6" t="inlineStr">
        <is>
          <t>DISHES_BRIOCHE</t>
        </is>
      </c>
      <c r="B136" s="6" t="inlineStr">
        <is>
          <t>BIKINI</t>
        </is>
      </c>
      <c r="C136" s="6" t="inlineStr">
        <is>
          <t>Queso havarti</t>
        </is>
      </c>
      <c r="D136" s="9" t="n">
        <v>0.03</v>
      </c>
      <c r="E136" s="6" t="inlineStr">
        <is>
          <t>L</t>
        </is>
      </c>
      <c r="F136" s="6">
        <f>IFERROR(SUMPRODUCT(('Ventas del mes'!$A$4:$A$72=A136)*('Ventas del mes'!$B$4:$B$72=B136)*'Ventas del mes'!$C$4:$C$72),0)</f>
        <v/>
      </c>
      <c r="G136" s="9">
        <f>D136*F136</f>
        <v/>
      </c>
    </row>
    <row r="137">
      <c r="A137" s="6" t="inlineStr">
        <is>
          <t>DISHES_BRIOCHE</t>
        </is>
      </c>
      <c r="B137" s="6" t="inlineStr">
        <is>
          <t>BIKINI</t>
        </is>
      </c>
      <c r="C137" s="6" t="inlineStr">
        <is>
          <t>Mantequilla</t>
        </is>
      </c>
      <c r="D137" s="9" t="n">
        <v>0.001</v>
      </c>
      <c r="E137" s="6" t="inlineStr">
        <is>
          <t>KG</t>
        </is>
      </c>
      <c r="F137" s="6">
        <f>IFERROR(SUMPRODUCT(('Ventas del mes'!$A$4:$A$72=A137)*('Ventas del mes'!$B$4:$B$72=B137)*'Ventas del mes'!$C$4:$C$72),0)</f>
        <v/>
      </c>
      <c r="G137" s="9">
        <f>D137*F137</f>
        <v/>
      </c>
    </row>
    <row r="138">
      <c r="A138" s="6" t="inlineStr">
        <is>
          <t>DISHES_BRIOCHE</t>
        </is>
      </c>
      <c r="B138" s="6" t="inlineStr">
        <is>
          <t>BIKINI</t>
        </is>
      </c>
      <c r="C138" s="6" t="inlineStr">
        <is>
          <t>Cebolla encurtida</t>
        </is>
      </c>
      <c r="D138" s="9" t="n">
        <v>0.01</v>
      </c>
      <c r="E138" s="6" t="inlineStr">
        <is>
          <t>KG</t>
        </is>
      </c>
      <c r="F138" s="6">
        <f>IFERROR(SUMPRODUCT(('Ventas del mes'!$A$4:$A$72=A138)*('Ventas del mes'!$B$4:$B$72=B138)*'Ventas del mes'!$C$4:$C$72),0)</f>
        <v/>
      </c>
      <c r="G138" s="9">
        <f>D138*F138</f>
        <v/>
      </c>
    </row>
    <row r="139">
      <c r="A139" s="6" t="inlineStr">
        <is>
          <t>DISHES_BRIOCHE</t>
        </is>
      </c>
      <c r="B139" s="6" t="inlineStr">
        <is>
          <t>BIKINI</t>
        </is>
      </c>
      <c r="C139" s="6" t="inlineStr">
        <is>
          <t>Pepinillos</t>
        </is>
      </c>
      <c r="D139" s="9" t="n">
        <v>0.015</v>
      </c>
      <c r="E139" s="6" t="inlineStr">
        <is>
          <t>KG</t>
        </is>
      </c>
      <c r="F139" s="6">
        <f>IFERROR(SUMPRODUCT(('Ventas del mes'!$A$4:$A$72=A139)*('Ventas del mes'!$B$4:$B$72=B139)*'Ventas del mes'!$C$4:$C$72),0)</f>
        <v/>
      </c>
      <c r="G139" s="9">
        <f>D139*F139</f>
        <v/>
      </c>
    </row>
    <row r="140">
      <c r="A140" s="6" t="inlineStr">
        <is>
          <t>DISHES_BRIOCHE</t>
        </is>
      </c>
      <c r="B140" s="6" t="inlineStr">
        <is>
          <t>BIKINI</t>
        </is>
      </c>
      <c r="C140" s="6" t="inlineStr">
        <is>
          <t>Mostaza</t>
        </is>
      </c>
      <c r="D140" s="9" t="n">
        <v>0.015</v>
      </c>
      <c r="E140" s="6" t="inlineStr">
        <is>
          <t>KG</t>
        </is>
      </c>
      <c r="F140" s="6">
        <f>IFERROR(SUMPRODUCT(('Ventas del mes'!$A$4:$A$72=A140)*('Ventas del mes'!$B$4:$B$72=B140)*'Ventas del mes'!$C$4:$C$72),0)</f>
        <v/>
      </c>
      <c r="G140" s="9">
        <f>D140*F140</f>
        <v/>
      </c>
    </row>
    <row r="141">
      <c r="A141" s="6" t="inlineStr">
        <is>
          <t>DISHES_BRIOCHE</t>
        </is>
      </c>
      <c r="B141" s="6" t="inlineStr">
        <is>
          <t>ROAST BEEF</t>
        </is>
      </c>
      <c r="C141" s="6" t="inlineStr">
        <is>
          <t>Brioche</t>
        </is>
      </c>
      <c r="D141" s="9" t="n">
        <v>0.09</v>
      </c>
      <c r="E141" s="6" t="inlineStr">
        <is>
          <t>UD</t>
        </is>
      </c>
      <c r="F141" s="6">
        <f>IFERROR(SUMPRODUCT(('Ventas del mes'!$A$4:$A$72=A141)*('Ventas del mes'!$B$4:$B$72=B141)*'Ventas del mes'!$C$4:$C$72),0)</f>
        <v/>
      </c>
      <c r="G141" s="9">
        <f>D141*F141</f>
        <v/>
      </c>
    </row>
    <row r="142">
      <c r="A142" s="6" t="inlineStr">
        <is>
          <t>DISHES_BRIOCHE</t>
        </is>
      </c>
      <c r="B142" s="6" t="inlineStr">
        <is>
          <t>ROAST BEEF</t>
        </is>
      </c>
      <c r="C142" s="6" t="inlineStr">
        <is>
          <t>Ternera cocinada</t>
        </is>
      </c>
      <c r="D142" s="9" t="n">
        <v>0.09</v>
      </c>
      <c r="E142" s="6" t="inlineStr">
        <is>
          <t>KG</t>
        </is>
      </c>
      <c r="F142" s="6">
        <f>IFERROR(SUMPRODUCT(('Ventas del mes'!$A$4:$A$72=A142)*('Ventas del mes'!$B$4:$B$72=B142)*'Ventas del mes'!$C$4:$C$72),0)</f>
        <v/>
      </c>
      <c r="G142" s="9">
        <f>D142*F142</f>
        <v/>
      </c>
    </row>
    <row r="143">
      <c r="A143" s="6" t="inlineStr">
        <is>
          <t>DISHES_BRIOCHE</t>
        </is>
      </c>
      <c r="B143" s="6" t="inlineStr">
        <is>
          <t>ROAST BEEF</t>
        </is>
      </c>
      <c r="C143" s="6" t="inlineStr">
        <is>
          <t>Pimiento rojo asado</t>
        </is>
      </c>
      <c r="D143" s="9" t="n">
        <v>0.025</v>
      </c>
      <c r="E143" s="6" t="inlineStr">
        <is>
          <t>KG</t>
        </is>
      </c>
      <c r="F143" s="6">
        <f>IFERROR(SUMPRODUCT(('Ventas del mes'!$A$4:$A$72=A143)*('Ventas del mes'!$B$4:$B$72=B143)*'Ventas del mes'!$C$4:$C$72),0)</f>
        <v/>
      </c>
      <c r="G143" s="9">
        <f>D143*F143</f>
        <v/>
      </c>
    </row>
    <row r="144">
      <c r="A144" s="6" t="inlineStr">
        <is>
          <t>DISHES_BRIOCHE</t>
        </is>
      </c>
      <c r="B144" s="6" t="inlineStr">
        <is>
          <t>ROAST BEEF</t>
        </is>
      </c>
      <c r="C144" s="6" t="inlineStr">
        <is>
          <t>AOVE</t>
        </is>
      </c>
      <c r="D144" s="9" t="n">
        <v>0.005</v>
      </c>
      <c r="E144" s="6" t="inlineStr">
        <is>
          <t>KG</t>
        </is>
      </c>
      <c r="F144" s="6">
        <f>IFERROR(SUMPRODUCT(('Ventas del mes'!$A$4:$A$72=A144)*('Ventas del mes'!$B$4:$B$72=B144)*'Ventas del mes'!$C$4:$C$72),0)</f>
        <v/>
      </c>
      <c r="G144" s="9">
        <f>D144*F144</f>
        <v/>
      </c>
    </row>
    <row r="145">
      <c r="A145" s="6" t="inlineStr">
        <is>
          <t>DISHES_BRIOCHE</t>
        </is>
      </c>
      <c r="B145" s="6" t="inlineStr">
        <is>
          <t>ROAST BEEF</t>
        </is>
      </c>
      <c r="C145" s="6" t="inlineStr">
        <is>
          <t>Escamas de sal</t>
        </is>
      </c>
      <c r="D145" s="9" t="n">
        <v>0.005</v>
      </c>
      <c r="E145" s="6" t="inlineStr">
        <is>
          <t>KG</t>
        </is>
      </c>
      <c r="F145" s="6">
        <f>IFERROR(SUMPRODUCT(('Ventas del mes'!$A$4:$A$72=A145)*('Ventas del mes'!$B$4:$B$72=B145)*'Ventas del mes'!$C$4:$C$72),0)</f>
        <v/>
      </c>
      <c r="G145" s="9">
        <f>D145*F145</f>
        <v/>
      </c>
    </row>
    <row r="146">
      <c r="A146" s="6" t="inlineStr">
        <is>
          <t>DISHES_TARDES</t>
        </is>
      </c>
      <c r="B146" s="6" t="inlineStr">
        <is>
          <t>ANCHOAS, MANTEQUILLA, BRIOCHE (NO)</t>
        </is>
      </c>
      <c r="C146" s="6" t="inlineStr">
        <is>
          <t>Brioche rebanado</t>
        </is>
      </c>
      <c r="D146" s="9" t="n">
        <v>0.12</v>
      </c>
      <c r="E146" s="6" t="inlineStr">
        <is>
          <t>KG</t>
        </is>
      </c>
      <c r="F146" s="6">
        <f>IFERROR(SUMPRODUCT(('Ventas del mes'!$A$4:$A$72=A146)*('Ventas del mes'!$B$4:$B$72=B146)*'Ventas del mes'!$C$4:$C$72),0)</f>
        <v/>
      </c>
      <c r="G146" s="9">
        <f>D146*F146</f>
        <v/>
      </c>
    </row>
    <row r="147">
      <c r="A147" s="6" t="inlineStr">
        <is>
          <t>DISHES_TARDES</t>
        </is>
      </c>
      <c r="B147" s="6" t="inlineStr">
        <is>
          <t>ANCHOAS, MANTEQUILLA, BRIOCHE (NO)</t>
        </is>
      </c>
      <c r="C147" s="6" t="inlineStr">
        <is>
          <t>Mantequilla ahumada</t>
        </is>
      </c>
      <c r="D147" s="9" t="n">
        <v>0.04</v>
      </c>
      <c r="E147" s="6" t="inlineStr">
        <is>
          <t>KG</t>
        </is>
      </c>
      <c r="F147" s="6">
        <f>IFERROR(SUMPRODUCT(('Ventas del mes'!$A$4:$A$72=A147)*('Ventas del mes'!$B$4:$B$72=B147)*'Ventas del mes'!$C$4:$C$72),0)</f>
        <v/>
      </c>
      <c r="G147" s="9">
        <f>D147*F147</f>
        <v/>
      </c>
    </row>
    <row r="148">
      <c r="A148" s="6" t="inlineStr">
        <is>
          <t>DISHES_TARDES</t>
        </is>
      </c>
      <c r="B148" s="6" t="inlineStr">
        <is>
          <t>ANCHOAS, MANTEQUILLA, BRIOCHE (NO)</t>
        </is>
      </c>
      <c r="C148" s="6" t="inlineStr">
        <is>
          <t>Anchoa del cantabrico</t>
        </is>
      </c>
      <c r="D148" s="9" t="n">
        <v>0.04</v>
      </c>
      <c r="E148" s="6" t="inlineStr">
        <is>
          <t>KG</t>
        </is>
      </c>
      <c r="F148" s="6">
        <f>IFERROR(SUMPRODUCT(('Ventas del mes'!$A$4:$A$72=A148)*('Ventas del mes'!$B$4:$B$72=B148)*'Ventas del mes'!$C$4:$C$72),0)</f>
        <v/>
      </c>
      <c r="G148" s="9">
        <f>D148*F148</f>
        <v/>
      </c>
    </row>
    <row r="149">
      <c r="A149" s="6" t="inlineStr">
        <is>
          <t>DISHES_TARDES</t>
        </is>
      </c>
      <c r="B149" s="6" t="inlineStr">
        <is>
          <t>ANCHOAS, MANTEQUILLA, BRIOCHE (NO)</t>
        </is>
      </c>
      <c r="C149" s="6" t="inlineStr">
        <is>
          <t>AOVE</t>
        </is>
      </c>
      <c r="D149" s="9" t="n">
        <v>0.01</v>
      </c>
      <c r="E149" s="6" t="inlineStr">
        <is>
          <t>KG</t>
        </is>
      </c>
      <c r="F149" s="6">
        <f>IFERROR(SUMPRODUCT(('Ventas del mes'!$A$4:$A$72=A149)*('Ventas del mes'!$B$4:$B$72=B149)*'Ventas del mes'!$C$4:$C$72),0)</f>
        <v/>
      </c>
      <c r="G149" s="9">
        <f>D149*F149</f>
        <v/>
      </c>
    </row>
    <row r="150">
      <c r="A150" s="6" t="inlineStr">
        <is>
          <t>DISHES_TARDES</t>
        </is>
      </c>
      <c r="B150" s="6" t="inlineStr">
        <is>
          <t>TABLA DE QUESOS</t>
        </is>
      </c>
      <c r="C150" s="6" t="inlineStr">
        <is>
          <t>Queso de cabra de guadarrama</t>
        </is>
      </c>
      <c r="D150" s="9" t="n">
        <v>0.06</v>
      </c>
      <c r="E150" s="6" t="inlineStr">
        <is>
          <t>KG</t>
        </is>
      </c>
      <c r="F150" s="6">
        <f>IFERROR(SUMPRODUCT(('Ventas del mes'!$A$4:$A$72=A150)*('Ventas del mes'!$B$4:$B$72=B150)*'Ventas del mes'!$C$4:$C$72),0)</f>
        <v/>
      </c>
      <c r="G150" s="9">
        <f>D150*F150</f>
        <v/>
      </c>
    </row>
    <row r="151">
      <c r="A151" s="6" t="inlineStr">
        <is>
          <t>DISHES_TARDES</t>
        </is>
      </c>
      <c r="B151" s="6" t="inlineStr">
        <is>
          <t>TABLA DE QUESOS</t>
        </is>
      </c>
      <c r="C151" s="6" t="inlineStr">
        <is>
          <t>Queso de oveja semicurado</t>
        </is>
      </c>
      <c r="D151" s="9" t="n">
        <v>0.06</v>
      </c>
      <c r="E151" s="6" t="inlineStr">
        <is>
          <t>KG</t>
        </is>
      </c>
      <c r="F151" s="6">
        <f>IFERROR(SUMPRODUCT(('Ventas del mes'!$A$4:$A$72=A151)*('Ventas del mes'!$B$4:$B$72=B151)*'Ventas del mes'!$C$4:$C$72),0)</f>
        <v/>
      </c>
      <c r="G151" s="9">
        <f>D151*F151</f>
        <v/>
      </c>
    </row>
    <row r="152">
      <c r="A152" s="6" t="inlineStr">
        <is>
          <t>DISHES_TARDES</t>
        </is>
      </c>
      <c r="B152" s="6" t="inlineStr">
        <is>
          <t>TABLA DE QUESOS</t>
        </is>
      </c>
      <c r="C152" s="6" t="inlineStr">
        <is>
          <t>membrillo</t>
        </is>
      </c>
      <c r="D152" s="9" t="n">
        <v>0.03</v>
      </c>
      <c r="E152" s="6" t="inlineStr">
        <is>
          <t>KG</t>
        </is>
      </c>
      <c r="F152" s="6">
        <f>IFERROR(SUMPRODUCT(('Ventas del mes'!$A$4:$A$72=A152)*('Ventas del mes'!$B$4:$B$72=B152)*'Ventas del mes'!$C$4:$C$72),0)</f>
        <v/>
      </c>
      <c r="G152" s="9">
        <f>D152*F152</f>
        <v/>
      </c>
    </row>
    <row r="153">
      <c r="A153" s="6" t="inlineStr">
        <is>
          <t>DISHES_TARDES</t>
        </is>
      </c>
      <c r="B153" s="6" t="inlineStr">
        <is>
          <t>TABLA DE QUESOS</t>
        </is>
      </c>
      <c r="C153" s="6" t="inlineStr">
        <is>
          <t>Almendra tostada</t>
        </is>
      </c>
      <c r="D153" s="9" t="n">
        <v>0.03</v>
      </c>
      <c r="E153" s="6" t="inlineStr">
        <is>
          <t>KG</t>
        </is>
      </c>
      <c r="F153" s="6">
        <f>IFERROR(SUMPRODUCT(('Ventas del mes'!$A$4:$A$72=A153)*('Ventas del mes'!$B$4:$B$72=B153)*'Ventas del mes'!$C$4:$C$72),0)</f>
        <v/>
      </c>
      <c r="G153" s="9">
        <f>D153*F153</f>
        <v/>
      </c>
    </row>
    <row r="154">
      <c r="A154" s="6" t="inlineStr">
        <is>
          <t>DISHES_TARDES</t>
        </is>
      </c>
      <c r="B154" s="6" t="inlineStr">
        <is>
          <t>TABLA DE QUESOS</t>
        </is>
      </c>
      <c r="C154" s="6" t="inlineStr">
        <is>
          <t>Pan masa madre cortado</t>
        </is>
      </c>
      <c r="D154" s="9" t="n">
        <v>0.09</v>
      </c>
      <c r="E154" s="6" t="inlineStr">
        <is>
          <t>KG</t>
        </is>
      </c>
      <c r="F154" s="6">
        <f>IFERROR(SUMPRODUCT(('Ventas del mes'!$A$4:$A$72=A154)*('Ventas del mes'!$B$4:$B$72=B154)*'Ventas del mes'!$C$4:$C$72),0)</f>
        <v/>
      </c>
      <c r="G154" s="9">
        <f>D154*F154</f>
        <v/>
      </c>
    </row>
    <row r="155">
      <c r="A155" s="6" t="inlineStr">
        <is>
          <t>DISHES_TARDES</t>
        </is>
      </c>
      <c r="B155" s="6" t="inlineStr">
        <is>
          <t>pincho de tortilla</t>
        </is>
      </c>
      <c r="C155" s="6" t="inlineStr">
        <is>
          <t>Porción tortilla de patata</t>
        </is>
      </c>
      <c r="D155" s="9" t="n">
        <v>0.18</v>
      </c>
      <c r="E155" s="6" t="inlineStr">
        <is>
          <t>KG</t>
        </is>
      </c>
      <c r="F155" s="6">
        <f>IFERROR(SUMPRODUCT(('Ventas del mes'!$A$4:$A$72=A155)*('Ventas del mes'!$B$4:$B$72=B155)*'Ventas del mes'!$C$4:$C$72),0)</f>
        <v/>
      </c>
      <c r="G155" s="9">
        <f>D155*F155</f>
        <v/>
      </c>
    </row>
    <row r="156">
      <c r="A156" s="6" t="inlineStr">
        <is>
          <t>DISHES_TARDES</t>
        </is>
      </c>
      <c r="B156" s="6" t="inlineStr">
        <is>
          <t>pincho de tortilla</t>
        </is>
      </c>
      <c r="C156" s="6" t="inlineStr">
        <is>
          <t>espuma de queso de guadarrama</t>
        </is>
      </c>
      <c r="D156" s="9" t="n">
        <v>0.02</v>
      </c>
      <c r="E156" s="6" t="inlineStr">
        <is>
          <t>KG</t>
        </is>
      </c>
      <c r="F156" s="6">
        <f>IFERROR(SUMPRODUCT(('Ventas del mes'!$A$4:$A$72=A156)*('Ventas del mes'!$B$4:$B$72=B156)*'Ventas del mes'!$C$4:$C$72),0)</f>
        <v/>
      </c>
      <c r="G156" s="9">
        <f>D156*F156</f>
        <v/>
      </c>
    </row>
    <row r="157">
      <c r="A157" s="6" t="inlineStr">
        <is>
          <t>DISHES_TARDES</t>
        </is>
      </c>
      <c r="B157" s="6" t="inlineStr">
        <is>
          <t>pincho de tortilla</t>
        </is>
      </c>
      <c r="C157" s="6" t="inlineStr">
        <is>
          <t>piparras</t>
        </is>
      </c>
      <c r="D157" s="9" t="n">
        <v>0.015</v>
      </c>
      <c r="E157" s="6" t="inlineStr">
        <is>
          <t>KG</t>
        </is>
      </c>
      <c r="F157" s="6">
        <f>IFERROR(SUMPRODUCT(('Ventas del mes'!$A$4:$A$72=A157)*('Ventas del mes'!$B$4:$B$72=B157)*'Ventas del mes'!$C$4:$C$72),0)</f>
        <v/>
      </c>
      <c r="G157" s="9">
        <f>D157*F157</f>
        <v/>
      </c>
    </row>
    <row r="158">
      <c r="A158" s="6" t="inlineStr">
        <is>
          <t>DISHES_TARDES</t>
        </is>
      </c>
      <c r="B158" s="6" t="inlineStr">
        <is>
          <t>pincho de tortilla</t>
        </is>
      </c>
      <c r="C158" s="6" t="inlineStr">
        <is>
          <t>AOVE</t>
        </is>
      </c>
      <c r="D158" s="9" t="n">
        <v>0.005</v>
      </c>
      <c r="E158" s="6" t="inlineStr">
        <is>
          <t>KG</t>
        </is>
      </c>
      <c r="F158" s="6">
        <f>IFERROR(SUMPRODUCT(('Ventas del mes'!$A$4:$A$72=A158)*('Ventas del mes'!$B$4:$B$72=B158)*'Ventas del mes'!$C$4:$C$72),0)</f>
        <v/>
      </c>
      <c r="G158" s="9">
        <f>D158*F158</f>
        <v/>
      </c>
    </row>
    <row r="159">
      <c r="A159" s="6" t="inlineStr">
        <is>
          <t>DISHES_TARDES</t>
        </is>
      </c>
      <c r="B159" s="6" t="inlineStr">
        <is>
          <t>pincho de tortilla</t>
        </is>
      </c>
      <c r="C159" s="6" t="inlineStr">
        <is>
          <t>Brioche rebanado</t>
        </is>
      </c>
      <c r="D159" s="9" t="n">
        <v>0.12</v>
      </c>
      <c r="E159" s="6" t="inlineStr">
        <is>
          <t>KG</t>
        </is>
      </c>
      <c r="F159" s="6">
        <f>IFERROR(SUMPRODUCT(('Ventas del mes'!$A$4:$A$72=A159)*('Ventas del mes'!$B$4:$B$72=B159)*'Ventas del mes'!$C$4:$C$72),0)</f>
        <v/>
      </c>
      <c r="G159" s="9">
        <f>D159*F159</f>
        <v/>
      </c>
    </row>
    <row r="160">
      <c r="A160" s="6" t="inlineStr">
        <is>
          <t>DISHES_TARDES</t>
        </is>
      </c>
      <c r="B160" s="6" t="inlineStr">
        <is>
          <t>GILDA</t>
        </is>
      </c>
      <c r="C160" s="6" t="inlineStr">
        <is>
          <t>4 Gildas</t>
        </is>
      </c>
      <c r="D160" s="9" t="n">
        <v>0.16</v>
      </c>
      <c r="E160" s="6" t="inlineStr">
        <is>
          <t>KG</t>
        </is>
      </c>
      <c r="F160" s="6">
        <f>IFERROR(SUMPRODUCT(('Ventas del mes'!$A$4:$A$72=A160)*('Ventas del mes'!$B$4:$B$72=B160)*'Ventas del mes'!$C$4:$C$72),0)</f>
        <v/>
      </c>
      <c r="G160" s="9">
        <f>D160*F160</f>
        <v/>
      </c>
    </row>
    <row r="161">
      <c r="A161" s="6" t="inlineStr">
        <is>
          <t>DISHES_TARDES</t>
        </is>
      </c>
      <c r="B161" s="6" t="inlineStr">
        <is>
          <t>GILDA</t>
        </is>
      </c>
      <c r="C161" s="6" t="inlineStr">
        <is>
          <t>AOVE</t>
        </is>
      </c>
      <c r="D161" s="9" t="n">
        <v>0.001</v>
      </c>
      <c r="E161" s="6" t="inlineStr">
        <is>
          <t>KG</t>
        </is>
      </c>
      <c r="F161" s="6">
        <f>IFERROR(SUMPRODUCT(('Ventas del mes'!$A$4:$A$72=A161)*('Ventas del mes'!$B$4:$B$72=B161)*'Ventas del mes'!$C$4:$C$72),0)</f>
        <v/>
      </c>
      <c r="G161" s="9">
        <f>D161*F161</f>
        <v/>
      </c>
    </row>
    <row r="162">
      <c r="A162" s="6" t="inlineStr">
        <is>
          <t>DISHES_TARDES</t>
        </is>
      </c>
      <c r="B162" s="6" t="inlineStr">
        <is>
          <t>TOMATE CONFITADO CON ANCHOAS</t>
        </is>
      </c>
      <c r="C162" s="6" t="inlineStr">
        <is>
          <t>Tomate confitado</t>
        </is>
      </c>
      <c r="D162" s="9" t="n">
        <v>0.12</v>
      </c>
      <c r="E162" s="6" t="inlineStr">
        <is>
          <t>KG</t>
        </is>
      </c>
      <c r="F162" s="6">
        <f>IFERROR(SUMPRODUCT(('Ventas del mes'!$A$4:$A$72=A162)*('Ventas del mes'!$B$4:$B$72=B162)*'Ventas del mes'!$C$4:$C$72),0)</f>
        <v/>
      </c>
      <c r="G162" s="9">
        <f>D162*F162</f>
        <v/>
      </c>
    </row>
    <row r="163">
      <c r="A163" s="6" t="inlineStr">
        <is>
          <t>DISHES_TARDES</t>
        </is>
      </c>
      <c r="B163" s="6" t="inlineStr">
        <is>
          <t>TOMATE CONFITADO CON ANCHOAS</t>
        </is>
      </c>
      <c r="C163" s="6" t="inlineStr">
        <is>
          <t>Filetes de anchoa</t>
        </is>
      </c>
      <c r="D163" s="9" t="n">
        <v>0.04</v>
      </c>
      <c r="E163" s="6" t="inlineStr">
        <is>
          <t>KG</t>
        </is>
      </c>
      <c r="F163" s="6">
        <f>IFERROR(SUMPRODUCT(('Ventas del mes'!$A$4:$A$72=A163)*('Ventas del mes'!$B$4:$B$72=B163)*'Ventas del mes'!$C$4:$C$72),0)</f>
        <v/>
      </c>
      <c r="G163" s="9">
        <f>D163*F163</f>
        <v/>
      </c>
    </row>
    <row r="164">
      <c r="A164" s="6" t="inlineStr">
        <is>
          <t>DISHES_TARDES</t>
        </is>
      </c>
      <c r="B164" s="6" t="inlineStr">
        <is>
          <t>TOMATE CONFITADO CON ANCHOAS</t>
        </is>
      </c>
      <c r="C164" s="6" t="inlineStr">
        <is>
          <t>AOVE</t>
        </is>
      </c>
      <c r="D164" s="9" t="n">
        <v>0.01</v>
      </c>
      <c r="E164" s="6" t="inlineStr">
        <is>
          <t>L</t>
        </is>
      </c>
      <c r="F164" s="6">
        <f>IFERROR(SUMPRODUCT(('Ventas del mes'!$A$4:$A$72=A164)*('Ventas del mes'!$B$4:$B$72=B164)*'Ventas del mes'!$C$4:$C$72),0)</f>
        <v/>
      </c>
      <c r="G164" s="9">
        <f>D164*F164</f>
        <v/>
      </c>
    </row>
    <row r="165">
      <c r="A165" s="6" t="inlineStr">
        <is>
          <t>DISHES_TARDES</t>
        </is>
      </c>
      <c r="B165" s="6" t="inlineStr">
        <is>
          <t>TOMATE CONFITADO CON ANCHOAS</t>
        </is>
      </c>
      <c r="C165" s="6" t="inlineStr">
        <is>
          <t>Pimienta</t>
        </is>
      </c>
      <c r="D165" s="9" t="n">
        <v>0.002</v>
      </c>
      <c r="E165" s="6" t="inlineStr">
        <is>
          <t>KG</t>
        </is>
      </c>
      <c r="F165" s="6">
        <f>IFERROR(SUMPRODUCT(('Ventas del mes'!$A$4:$A$72=A165)*('Ventas del mes'!$B$4:$B$72=B165)*'Ventas del mes'!$C$4:$C$72),0)</f>
        <v/>
      </c>
      <c r="G165" s="9">
        <f>D165*F165</f>
        <v/>
      </c>
    </row>
    <row r="166">
      <c r="A166" s="6" t="inlineStr">
        <is>
          <t>DISHES_TARDES</t>
        </is>
      </c>
      <c r="B166" s="6" t="inlineStr">
        <is>
          <t>TOMATE CONFITADO CON ANCHOAS</t>
        </is>
      </c>
      <c r="C166" s="6" t="inlineStr">
        <is>
          <t>Pan masa madre tostado</t>
        </is>
      </c>
      <c r="D166" s="9" t="n">
        <v>0.09</v>
      </c>
      <c r="E166" s="6" t="inlineStr">
        <is>
          <t>KG</t>
        </is>
      </c>
      <c r="F166" s="6">
        <f>IFERROR(SUMPRODUCT(('Ventas del mes'!$A$4:$A$72=A166)*('Ventas del mes'!$B$4:$B$72=B166)*'Ventas del mes'!$C$4:$C$72),0)</f>
        <v/>
      </c>
      <c r="G166" s="9">
        <f>D166*F166</f>
        <v/>
      </c>
    </row>
    <row r="167">
      <c r="A167" s="6" t="inlineStr">
        <is>
          <t>DISHES_TARDES</t>
        </is>
      </c>
      <c r="B167" s="6" t="inlineStr">
        <is>
          <t>TOMATE CONFITADO CON ANCHOAS</t>
        </is>
      </c>
      <c r="C167" s="6" t="inlineStr">
        <is>
          <t>Ralladura de limón</t>
        </is>
      </c>
      <c r="D167" s="9" t="n">
        <v>0.001</v>
      </c>
      <c r="E167" s="6" t="inlineStr">
        <is>
          <t>KG</t>
        </is>
      </c>
      <c r="F167" s="6">
        <f>IFERROR(SUMPRODUCT(('Ventas del mes'!$A$4:$A$72=A167)*('Ventas del mes'!$B$4:$B$72=B167)*'Ventas del mes'!$C$4:$C$72),0)</f>
        <v/>
      </c>
      <c r="G167" s="9">
        <f>D167*F167</f>
        <v/>
      </c>
    </row>
    <row r="168">
      <c r="A168" s="6" t="inlineStr">
        <is>
          <t>DISHES_TARDES</t>
        </is>
      </c>
      <c r="B168" s="6" t="inlineStr">
        <is>
          <t>PISTO Y YEMA CURADA</t>
        </is>
      </c>
      <c r="C168" s="6" t="inlineStr">
        <is>
          <t>Pisto caliente</t>
        </is>
      </c>
      <c r="D168" s="9" t="n">
        <v>0.18</v>
      </c>
      <c r="E168" s="6" t="inlineStr">
        <is>
          <t>KG</t>
        </is>
      </c>
      <c r="F168" s="6">
        <f>IFERROR(SUMPRODUCT(('Ventas del mes'!$A$4:$A$72=A168)*('Ventas del mes'!$B$4:$B$72=B168)*'Ventas del mes'!$C$4:$C$72),0)</f>
        <v/>
      </c>
      <c r="G168" s="9">
        <f>D168*F168</f>
        <v/>
      </c>
    </row>
    <row r="169">
      <c r="A169" s="6" t="inlineStr">
        <is>
          <t>DISHES_TARDES</t>
        </is>
      </c>
      <c r="B169" s="6" t="inlineStr">
        <is>
          <t>PISTO Y YEMA CURADA</t>
        </is>
      </c>
      <c r="C169" s="6" t="inlineStr">
        <is>
          <t>Yema curada rallada</t>
        </is>
      </c>
      <c r="D169" s="9" t="n">
        <v>0.01</v>
      </c>
      <c r="E169" s="6" t="inlineStr">
        <is>
          <t>KG</t>
        </is>
      </c>
      <c r="F169" s="6">
        <f>IFERROR(SUMPRODUCT(('Ventas del mes'!$A$4:$A$72=A169)*('Ventas del mes'!$B$4:$B$72=B169)*'Ventas del mes'!$C$4:$C$72),0)</f>
        <v/>
      </c>
      <c r="G169" s="9">
        <f>D169*F169</f>
        <v/>
      </c>
    </row>
    <row r="170">
      <c r="A170" s="6" t="inlineStr">
        <is>
          <t>DISHES_TARDES</t>
        </is>
      </c>
      <c r="B170" s="6" t="inlineStr">
        <is>
          <t>PISTO Y YEMA CURADA</t>
        </is>
      </c>
      <c r="C170" s="6" t="inlineStr">
        <is>
          <t>Pan tostado</t>
        </is>
      </c>
      <c r="D170" s="9" t="n">
        <v>0.09</v>
      </c>
      <c r="E170" s="6" t="inlineStr">
        <is>
          <t>L</t>
        </is>
      </c>
      <c r="F170" s="6">
        <f>IFERROR(SUMPRODUCT(('Ventas del mes'!$A$4:$A$72=A170)*('Ventas del mes'!$B$4:$B$72=B170)*'Ventas del mes'!$C$4:$C$72),0)</f>
        <v/>
      </c>
      <c r="G170" s="9">
        <f>D170*F170</f>
        <v/>
      </c>
    </row>
    <row r="171">
      <c r="A171" s="6" t="inlineStr">
        <is>
          <t>DISHES_TARDES</t>
        </is>
      </c>
      <c r="B171" s="6" t="inlineStr">
        <is>
          <t>PISTO Y YEMA CURADA</t>
        </is>
      </c>
      <c r="C171" s="6" t="inlineStr">
        <is>
          <t>AOVE</t>
        </is>
      </c>
      <c r="D171" s="9" t="n">
        <v>0.01</v>
      </c>
      <c r="E171" s="6" t="inlineStr">
        <is>
          <t>KG</t>
        </is>
      </c>
      <c r="F171" s="6">
        <f>IFERROR(SUMPRODUCT(('Ventas del mes'!$A$4:$A$72=A171)*('Ventas del mes'!$B$4:$B$72=B171)*'Ventas del mes'!$C$4:$C$72),0)</f>
        <v/>
      </c>
      <c r="G171" s="9">
        <f>D171*F171</f>
        <v/>
      </c>
    </row>
    <row r="172">
      <c r="A172" s="6" t="inlineStr">
        <is>
          <t>DISHES_TARDES</t>
        </is>
      </c>
      <c r="B172" s="6" t="inlineStr">
        <is>
          <t>Ensalada de melocotón, tomate verde y almendra (PRIMAVERA VERANO)</t>
        </is>
      </c>
      <c r="C172" s="6" t="inlineStr">
        <is>
          <t>Melocotón fresco</t>
        </is>
      </c>
      <c r="D172" s="9" t="n">
        <v>0.12</v>
      </c>
      <c r="E172" s="6" t="inlineStr">
        <is>
          <t>KG</t>
        </is>
      </c>
      <c r="F172" s="6">
        <f>IFERROR(SUMPRODUCT(('Ventas del mes'!$A$4:$A$72=A172)*('Ventas del mes'!$B$4:$B$72=B172)*'Ventas del mes'!$C$4:$C$72),0)</f>
        <v/>
      </c>
      <c r="G172" s="9">
        <f>D172*F172</f>
        <v/>
      </c>
    </row>
    <row r="173">
      <c r="A173" s="6" t="inlineStr">
        <is>
          <t>DISHES_TARDES</t>
        </is>
      </c>
      <c r="B173" s="6" t="inlineStr">
        <is>
          <t>Ensalada de melocotón, tomate verde y almendra (PRIMAVERA VERANO)</t>
        </is>
      </c>
      <c r="C173" s="6" t="inlineStr">
        <is>
          <t>Tomate verde</t>
        </is>
      </c>
      <c r="D173" s="9" t="n">
        <v>0.12</v>
      </c>
      <c r="E173" s="6" t="inlineStr">
        <is>
          <t>KG</t>
        </is>
      </c>
      <c r="F173" s="6">
        <f>IFERROR(SUMPRODUCT(('Ventas del mes'!$A$4:$A$72=A173)*('Ventas del mes'!$B$4:$B$72=B173)*'Ventas del mes'!$C$4:$C$72),0)</f>
        <v/>
      </c>
      <c r="G173" s="9">
        <f>D173*F173</f>
        <v/>
      </c>
    </row>
    <row r="174">
      <c r="A174" s="6" t="inlineStr">
        <is>
          <t>DISHES_TARDES</t>
        </is>
      </c>
      <c r="B174" s="6" t="inlineStr">
        <is>
          <t>Ensalada de melocotón, tomate verde y almendra (PRIMAVERA VERANO)</t>
        </is>
      </c>
      <c r="C174" s="6" t="inlineStr">
        <is>
          <t>Almendra tostada</t>
        </is>
      </c>
      <c r="D174" s="9" t="n">
        <v>0.015</v>
      </c>
      <c r="E174" s="6" t="inlineStr">
        <is>
          <t>L</t>
        </is>
      </c>
      <c r="F174" s="6">
        <f>IFERROR(SUMPRODUCT(('Ventas del mes'!$A$4:$A$72=A174)*('Ventas del mes'!$B$4:$B$72=B174)*'Ventas del mes'!$C$4:$C$72),0)</f>
        <v/>
      </c>
      <c r="G174" s="9">
        <f>D174*F174</f>
        <v/>
      </c>
    </row>
    <row r="175">
      <c r="A175" s="6" t="inlineStr">
        <is>
          <t>DISHES_TARDES</t>
        </is>
      </c>
      <c r="B175" s="6" t="inlineStr">
        <is>
          <t>Ensalada de melocotón, tomate verde y almendra (PRIMAVERA VERANO)</t>
        </is>
      </c>
      <c r="C175" s="6" t="inlineStr">
        <is>
          <t>Mezcla de hojas tiernas</t>
        </is>
      </c>
      <c r="D175" s="9" t="n">
        <v>0.02</v>
      </c>
      <c r="E175" s="6" t="inlineStr">
        <is>
          <t>KG</t>
        </is>
      </c>
      <c r="F175" s="6">
        <f>IFERROR(SUMPRODUCT(('Ventas del mes'!$A$4:$A$72=A175)*('Ventas del mes'!$B$4:$B$72=B175)*'Ventas del mes'!$C$4:$C$72),0)</f>
        <v/>
      </c>
      <c r="G175" s="9">
        <f>D175*F175</f>
        <v/>
      </c>
    </row>
    <row r="176">
      <c r="A176" s="6" t="inlineStr">
        <is>
          <t>DISHES_TARDES</t>
        </is>
      </c>
      <c r="B176" s="6" t="inlineStr">
        <is>
          <t>Ensalada de melocotón, tomate verde y almendra (PRIMAVERA VERANO)</t>
        </is>
      </c>
      <c r="C176" s="6" t="inlineStr">
        <is>
          <t>Vinagreta de miel y limón</t>
        </is>
      </c>
      <c r="D176" s="9" t="n">
        <v>0.015</v>
      </c>
      <c r="E176" s="6" t="inlineStr">
        <is>
          <t>KG</t>
        </is>
      </c>
      <c r="F176" s="6">
        <f>IFERROR(SUMPRODUCT(('Ventas del mes'!$A$4:$A$72=A176)*('Ventas del mes'!$B$4:$B$72=B176)*'Ventas del mes'!$C$4:$C$72),0)</f>
        <v/>
      </c>
      <c r="G176" s="9">
        <f>D176*F176</f>
        <v/>
      </c>
    </row>
    <row r="177">
      <c r="A177" s="6" t="inlineStr">
        <is>
          <t>DISHES_TARDES</t>
        </is>
      </c>
      <c r="B177" s="6" t="inlineStr">
        <is>
          <t>Ensalada de hojas amargas, queso de guadarrama y almendra tostada (OTOÑO / INVIERNO)</t>
        </is>
      </c>
      <c r="C177" s="6" t="inlineStr">
        <is>
          <t>Escarola</t>
        </is>
      </c>
      <c r="D177" s="9" t="n">
        <v>0.06</v>
      </c>
      <c r="E177" s="6" t="inlineStr">
        <is>
          <t>KG</t>
        </is>
      </c>
      <c r="F177" s="6">
        <f>IFERROR(SUMPRODUCT(('Ventas del mes'!$A$4:$A$72=A177)*('Ventas del mes'!$B$4:$B$72=B177)*'Ventas del mes'!$C$4:$C$72),0)</f>
        <v/>
      </c>
      <c r="G177" s="9">
        <f>D177*F177</f>
        <v/>
      </c>
    </row>
    <row r="178">
      <c r="A178" s="6" t="inlineStr">
        <is>
          <t>DISHES_TARDES</t>
        </is>
      </c>
      <c r="B178" s="6" t="inlineStr">
        <is>
          <t>Ensalada de hojas amargas, queso de guadarrama y almendra tostada (OTOÑO / INVIERNO)</t>
        </is>
      </c>
      <c r="C178" s="6" t="inlineStr">
        <is>
          <t>Radicchio</t>
        </is>
      </c>
      <c r="D178" s="9" t="n">
        <v>0.04</v>
      </c>
      <c r="E178" s="6" t="inlineStr">
        <is>
          <t>KG</t>
        </is>
      </c>
      <c r="F178" s="6">
        <f>IFERROR(SUMPRODUCT(('Ventas del mes'!$A$4:$A$72=A178)*('Ventas del mes'!$B$4:$B$72=B178)*'Ventas del mes'!$C$4:$C$72),0)</f>
        <v/>
      </c>
      <c r="G178" s="9">
        <f>D178*F178</f>
        <v/>
      </c>
    </row>
    <row r="179">
      <c r="A179" s="6" t="inlineStr">
        <is>
          <t>DISHES_TARDES</t>
        </is>
      </c>
      <c r="B179" s="6" t="inlineStr">
        <is>
          <t>Ensalada de hojas amargas, queso de guadarrama y almendra tostada (OTOÑO / INVIERNO)</t>
        </is>
      </c>
      <c r="C179" s="6" t="inlineStr">
        <is>
          <t>Rucula</t>
        </is>
      </c>
      <c r="D179" s="9" t="n">
        <v>0.04</v>
      </c>
      <c r="E179" s="6" t="inlineStr">
        <is>
          <t>L</t>
        </is>
      </c>
      <c r="F179" s="6">
        <f>IFERROR(SUMPRODUCT(('Ventas del mes'!$A$4:$A$72=A179)*('Ventas del mes'!$B$4:$B$72=B179)*'Ventas del mes'!$C$4:$C$72),0)</f>
        <v/>
      </c>
      <c r="G179" s="9">
        <f>D179*F179</f>
        <v/>
      </c>
    </row>
    <row r="180">
      <c r="A180" s="6" t="inlineStr">
        <is>
          <t>DISHES_TARDES</t>
        </is>
      </c>
      <c r="B180" s="6" t="inlineStr">
        <is>
          <t>Ensalada de hojas amargas, queso de guadarrama y almendra tostada (OTOÑO / INVIERNO)</t>
        </is>
      </c>
      <c r="C180" s="6" t="inlineStr">
        <is>
          <t>Queso de guadarrama</t>
        </is>
      </c>
      <c r="D180" s="9" t="n">
        <v>0.04</v>
      </c>
      <c r="E180" s="6" t="inlineStr">
        <is>
          <t>KG</t>
        </is>
      </c>
      <c r="F180" s="6">
        <f>IFERROR(SUMPRODUCT(('Ventas del mes'!$A$4:$A$72=A180)*('Ventas del mes'!$B$4:$B$72=B180)*'Ventas del mes'!$C$4:$C$72),0)</f>
        <v/>
      </c>
      <c r="G180" s="9">
        <f>D180*F180</f>
        <v/>
      </c>
    </row>
    <row r="181">
      <c r="A181" s="6" t="inlineStr">
        <is>
          <t>DISHES_TARDES</t>
        </is>
      </c>
      <c r="B181" s="6" t="inlineStr">
        <is>
          <t>Ensalada de hojas amargas, queso de guadarrama y almendra tostada (OTOÑO / INVIERNO)</t>
        </is>
      </c>
      <c r="C181" s="6" t="inlineStr">
        <is>
          <t>Almendra tostada</t>
        </is>
      </c>
      <c r="D181" s="9" t="n">
        <v>0.015</v>
      </c>
      <c r="E181" s="6" t="inlineStr">
        <is>
          <t>KG</t>
        </is>
      </c>
      <c r="F181" s="6">
        <f>IFERROR(SUMPRODUCT(('Ventas del mes'!$A$4:$A$72=A181)*('Ventas del mes'!$B$4:$B$72=B181)*'Ventas del mes'!$C$4:$C$72),0)</f>
        <v/>
      </c>
      <c r="G181" s="9">
        <f>D181*F181</f>
        <v/>
      </c>
    </row>
    <row r="182">
      <c r="A182" s="6" t="inlineStr">
        <is>
          <t>DISHES_TARDES</t>
        </is>
      </c>
      <c r="B182" s="6" t="inlineStr">
        <is>
          <t>Ensalada de hojas amargas, queso de guadarrama y almendra tostada (OTOÑO / INVIERNO)</t>
        </is>
      </c>
      <c r="C182" s="6" t="inlineStr">
        <is>
          <t>Vinagreta de miel</t>
        </is>
      </c>
      <c r="D182" s="9" t="n">
        <v>0.015</v>
      </c>
      <c r="E182" s="6" t="inlineStr">
        <is>
          <t>KG</t>
        </is>
      </c>
      <c r="F182" s="6">
        <f>IFERROR(SUMPRODUCT(('Ventas del mes'!$A$4:$A$72=A182)*('Ventas del mes'!$B$4:$B$72=B182)*'Ventas del mes'!$C$4:$C$72),0)</f>
        <v/>
      </c>
      <c r="G182" s="9">
        <f>D182*F182</f>
        <v/>
      </c>
    </row>
    <row r="183">
      <c r="A183" s="6" t="inlineStr">
        <is>
          <t>DISHES_TARDES</t>
        </is>
      </c>
      <c r="B183" s="6" t="inlineStr">
        <is>
          <t>Ensalada de hojas amargas, queso de guadarrama y almendra tostada (OTOÑO / INVIERNO)</t>
        </is>
      </c>
      <c r="C183" s="6" t="inlineStr">
        <is>
          <t>Escamas de sal</t>
        </is>
      </c>
      <c r="D183" s="9" t="n">
        <v>0.005</v>
      </c>
      <c r="E183" s="6" t="inlineStr">
        <is>
          <t>KG</t>
        </is>
      </c>
      <c r="F183" s="6">
        <f>IFERROR(SUMPRODUCT(('Ventas del mes'!$A$4:$A$72=A183)*('Ventas del mes'!$B$4:$B$72=B183)*'Ventas del mes'!$C$4:$C$72),0)</f>
        <v/>
      </c>
      <c r="G183" s="9">
        <f>D183*F183</f>
        <v/>
      </c>
    </row>
    <row r="184">
      <c r="A184" s="6" t="inlineStr">
        <is>
          <t>BEBIDAS_CAFÉ</t>
        </is>
      </c>
      <c r="B184" s="6" t="inlineStr">
        <is>
          <t>LATTE DE LECHE MERENGADA</t>
        </is>
      </c>
      <c r="C184" s="6" t="inlineStr">
        <is>
          <t>Espresso doble</t>
        </is>
      </c>
      <c r="D184" s="9" t="n">
        <v>0.036</v>
      </c>
      <c r="E184" s="6" t="inlineStr">
        <is>
          <t>KG</t>
        </is>
      </c>
      <c r="F184" s="6">
        <f>IFERROR(SUMPRODUCT(('Ventas del mes'!$A$4:$A$72=A184)*('Ventas del mes'!$B$4:$B$72=B184)*'Ventas del mes'!$C$4:$C$72),0)</f>
        <v/>
      </c>
      <c r="G184" s="9">
        <f>D184*F184</f>
        <v/>
      </c>
    </row>
    <row r="185">
      <c r="A185" s="6" t="inlineStr">
        <is>
          <t>BEBIDAS_CAFÉ</t>
        </is>
      </c>
      <c r="B185" s="6" t="inlineStr">
        <is>
          <t>LATTE DE LECHE MERENGADA</t>
        </is>
      </c>
      <c r="C185" s="6" t="inlineStr">
        <is>
          <t>Leche de almendra merengada</t>
        </is>
      </c>
      <c r="D185" s="9" t="n">
        <v>0.18</v>
      </c>
      <c r="E185" s="6" t="inlineStr">
        <is>
          <t>KG</t>
        </is>
      </c>
      <c r="F185" s="6">
        <f>IFERROR(SUMPRODUCT(('Ventas del mes'!$A$4:$A$72=A185)*('Ventas del mes'!$B$4:$B$72=B185)*'Ventas del mes'!$C$4:$C$72),0)</f>
        <v/>
      </c>
      <c r="G185" s="9">
        <f>D185*F185</f>
        <v/>
      </c>
    </row>
    <row r="186">
      <c r="A186" s="6" t="inlineStr">
        <is>
          <t>BEBIDAS_CAFÉ</t>
        </is>
      </c>
      <c r="B186" s="6" t="inlineStr">
        <is>
          <t>SHAKERATO DE NARANJA</t>
        </is>
      </c>
      <c r="C186" s="6" t="inlineStr">
        <is>
          <t>Shot de espresso</t>
        </is>
      </c>
      <c r="D186" s="9" t="n">
        <v>0.35</v>
      </c>
      <c r="E186" s="6" t="inlineStr">
        <is>
          <t>L</t>
        </is>
      </c>
      <c r="F186" s="6">
        <f>IFERROR(SUMPRODUCT(('Ventas del mes'!$A$4:$A$72=A186)*('Ventas del mes'!$B$4:$B$72=B186)*'Ventas del mes'!$C$4:$C$72),0)</f>
        <v/>
      </c>
      <c r="G186" s="9">
        <f>D186*F186</f>
        <v/>
      </c>
    </row>
    <row r="187">
      <c r="A187" s="6" t="inlineStr">
        <is>
          <t>BEBIDAS_CAFÉ</t>
        </is>
      </c>
      <c r="B187" s="6" t="inlineStr">
        <is>
          <t>SHAKERATO DE NARANJA</t>
        </is>
      </c>
      <c r="C187" s="6" t="inlineStr">
        <is>
          <t>sirope de naranja monin</t>
        </is>
      </c>
      <c r="D187" s="9" t="n">
        <v>0.01</v>
      </c>
      <c r="E187" s="6" t="inlineStr">
        <is>
          <t>KG</t>
        </is>
      </c>
      <c r="F187" s="6">
        <f>IFERROR(SUMPRODUCT(('Ventas del mes'!$A$4:$A$72=A187)*('Ventas del mes'!$B$4:$B$72=B187)*'Ventas del mes'!$C$4:$C$72),0)</f>
        <v/>
      </c>
      <c r="G187" s="9">
        <f>D187*F187</f>
        <v/>
      </c>
    </row>
    <row r="188">
      <c r="A188" s="6" t="inlineStr">
        <is>
          <t>BEBIDAS_CAFÉ</t>
        </is>
      </c>
      <c r="B188" s="6" t="inlineStr">
        <is>
          <t>SHAKERATO DE NARANJA</t>
        </is>
      </c>
      <c r="C188" s="6" t="inlineStr">
        <is>
          <t>hielo</t>
        </is>
      </c>
      <c r="D188" s="9" t="n">
        <v>0.12</v>
      </c>
      <c r="E188" s="6" t="inlineStr">
        <is>
          <t>KG</t>
        </is>
      </c>
      <c r="F188" s="6">
        <f>IFERROR(SUMPRODUCT(('Ventas del mes'!$A$4:$A$72=A188)*('Ventas del mes'!$B$4:$B$72=B188)*'Ventas del mes'!$C$4:$C$72),0)</f>
        <v/>
      </c>
      <c r="G188" s="9">
        <f>D188*F188</f>
        <v/>
      </c>
    </row>
    <row r="189">
      <c r="A189" s="6" t="inlineStr">
        <is>
          <t>BEBIDAS_CAFÉ</t>
        </is>
      </c>
      <c r="B189" s="6" t="inlineStr">
        <is>
          <t>SHAKERATO DE NARANJA</t>
        </is>
      </c>
      <c r="C189" s="6" t="inlineStr">
        <is>
          <t>piel de naranja</t>
        </is>
      </c>
      <c r="D189" s="9" t="n">
        <v>0.001</v>
      </c>
      <c r="E189" s="6" t="inlineStr">
        <is>
          <t>KG</t>
        </is>
      </c>
      <c r="F189" s="6">
        <f>IFERROR(SUMPRODUCT(('Ventas del mes'!$A$4:$A$72=A189)*('Ventas del mes'!$B$4:$B$72=B189)*'Ventas del mes'!$C$4:$C$72),0)</f>
        <v/>
      </c>
      <c r="G189" s="9">
        <f>D189*F189</f>
        <v/>
      </c>
    </row>
    <row r="190">
      <c r="A190" s="6" t="inlineStr">
        <is>
          <t>BEBIDAS_CAFÉ</t>
        </is>
      </c>
      <c r="B190" s="6" t="inlineStr">
        <is>
          <t>CAFÉ, MIEL, AOVE</t>
        </is>
      </c>
      <c r="C190" s="6" t="inlineStr">
        <is>
          <t>Espresso doble</t>
        </is>
      </c>
      <c r="D190" s="9" t="n">
        <v>0.035</v>
      </c>
      <c r="E190" s="6" t="inlineStr">
        <is>
          <t>KG</t>
        </is>
      </c>
      <c r="F190" s="6">
        <f>IFERROR(SUMPRODUCT(('Ventas del mes'!$A$4:$A$72=A190)*('Ventas del mes'!$B$4:$B$72=B190)*'Ventas del mes'!$C$4:$C$72),0)</f>
        <v/>
      </c>
      <c r="G190" s="9">
        <f>D190*F190</f>
        <v/>
      </c>
    </row>
    <row r="191">
      <c r="A191" s="6" t="inlineStr">
        <is>
          <t>BEBIDAS_CAFÉ</t>
        </is>
      </c>
      <c r="B191" s="6" t="inlineStr">
        <is>
          <t>CAFÉ, MIEL, AOVE</t>
        </is>
      </c>
      <c r="C191" s="6" t="inlineStr">
        <is>
          <t>Leche</t>
        </is>
      </c>
      <c r="D191" s="9" t="n">
        <v>0.18</v>
      </c>
      <c r="E191" s="6" t="inlineStr">
        <is>
          <t>KG</t>
        </is>
      </c>
      <c r="F191" s="6">
        <f>IFERROR(SUMPRODUCT(('Ventas del mes'!$A$4:$A$72=A191)*('Ventas del mes'!$B$4:$B$72=B191)*'Ventas del mes'!$C$4:$C$72),0)</f>
        <v/>
      </c>
      <c r="G191" s="9">
        <f>D191*F191</f>
        <v/>
      </c>
    </row>
    <row r="192">
      <c r="A192" s="6" t="inlineStr">
        <is>
          <t>BEBIDAS_CAFÉ</t>
        </is>
      </c>
      <c r="B192" s="6" t="inlineStr">
        <is>
          <t>CAFÉ, MIEL, AOVE</t>
        </is>
      </c>
      <c r="C192" s="6" t="inlineStr">
        <is>
          <t>Miel</t>
        </is>
      </c>
      <c r="D192" s="9" t="n">
        <v>0.01</v>
      </c>
      <c r="E192" s="6" t="inlineStr">
        <is>
          <t>KG</t>
        </is>
      </c>
      <c r="F192" s="6">
        <f>IFERROR(SUMPRODUCT(('Ventas del mes'!$A$4:$A$72=A192)*('Ventas del mes'!$B$4:$B$72=B192)*'Ventas del mes'!$C$4:$C$72),0)</f>
        <v/>
      </c>
      <c r="G192" s="9">
        <f>D192*F192</f>
        <v/>
      </c>
    </row>
    <row r="193">
      <c r="A193" s="6" t="inlineStr">
        <is>
          <t>BEBIDAS_CAFÉ</t>
        </is>
      </c>
      <c r="B193" s="6" t="inlineStr">
        <is>
          <t>CAFÉ, MIEL, AOVE</t>
        </is>
      </c>
      <c r="C193" s="6" t="inlineStr">
        <is>
          <t>AOVE</t>
        </is>
      </c>
      <c r="D193" s="9" t="n">
        <v>0.002</v>
      </c>
      <c r="E193" s="6" t="inlineStr">
        <is>
          <t>KG</t>
        </is>
      </c>
      <c r="F193" s="6">
        <f>IFERROR(SUMPRODUCT(('Ventas del mes'!$A$4:$A$72=A193)*('Ventas del mes'!$B$4:$B$72=B193)*'Ventas del mes'!$C$4:$C$72),0)</f>
        <v/>
      </c>
      <c r="G193" s="9">
        <f>D193*F193</f>
        <v/>
      </c>
    </row>
    <row r="194">
      <c r="A194" s="6" t="inlineStr">
        <is>
          <t>_OBRADOR_ESCANDALLOS</t>
        </is>
      </c>
      <c r="B194" s="6" t="inlineStr">
        <is>
          <t>BRIOCHE CAFÉ</t>
        </is>
      </c>
      <c r="C194" s="6" t="inlineStr">
        <is>
          <t>Brioche</t>
        </is>
      </c>
      <c r="D194" s="9" t="n">
        <v>0.1</v>
      </c>
      <c r="E194" s="6" t="inlineStr">
        <is>
          <t>KG</t>
        </is>
      </c>
      <c r="F194" s="6">
        <f>IFERROR(SUMPRODUCT(('Ventas del mes'!$A$4:$A$72=A194)*('Ventas del mes'!$B$4:$B$72=B194)*'Ventas del mes'!$C$4:$C$72),0)</f>
        <v/>
      </c>
      <c r="G194" s="9">
        <f>D194*F194</f>
        <v/>
      </c>
    </row>
    <row r="195">
      <c r="A195" s="6" t="inlineStr">
        <is>
          <t>_OBRADOR_ESCANDALLOS</t>
        </is>
      </c>
      <c r="B195" s="6" t="inlineStr">
        <is>
          <t>BRIOCHE CAFÉ</t>
        </is>
      </c>
      <c r="C195" s="6" t="inlineStr">
        <is>
          <t>MANTEQUILLA FUNDIDA</t>
        </is>
      </c>
      <c r="D195" s="9" t="n">
        <v>0.005</v>
      </c>
      <c r="E195" s="6" t="inlineStr">
        <is>
          <t>KG</t>
        </is>
      </c>
      <c r="F195" s="6">
        <f>IFERROR(SUMPRODUCT(('Ventas del mes'!$A$4:$A$72=A195)*('Ventas del mes'!$B$4:$B$72=B195)*'Ventas del mes'!$C$4:$C$72),0)</f>
        <v/>
      </c>
      <c r="G195" s="9">
        <f>D195*F195</f>
        <v/>
      </c>
    </row>
    <row r="196">
      <c r="A196" s="6" t="inlineStr">
        <is>
          <t>_OBRADOR_ESCANDALLOS</t>
        </is>
      </c>
      <c r="B196" s="6" t="inlineStr">
        <is>
          <t>BRIOCHE CAFÉ</t>
        </is>
      </c>
      <c r="C196" s="6" t="inlineStr">
        <is>
          <t>AZÚCAR BLANCO</t>
        </is>
      </c>
      <c r="D196" s="9" t="n">
        <v>0.005</v>
      </c>
      <c r="E196" s="6" t="inlineStr">
        <is>
          <t>KG</t>
        </is>
      </c>
      <c r="F196" s="6">
        <f>IFERROR(SUMPRODUCT(('Ventas del mes'!$A$4:$A$72=A196)*('Ventas del mes'!$B$4:$B$72=B196)*'Ventas del mes'!$C$4:$C$72),0)</f>
        <v/>
      </c>
      <c r="G196" s="9">
        <f>D196*F196</f>
        <v/>
      </c>
    </row>
    <row r="197">
      <c r="A197" s="6" t="inlineStr">
        <is>
          <t>_OBRADOR_ESCANDALLOS</t>
        </is>
      </c>
      <c r="B197" s="6" t="inlineStr">
        <is>
          <t>BRIOCHE CAFÉ</t>
        </is>
      </c>
      <c r="C197" s="6" t="inlineStr">
        <is>
          <t>NAMELAKA DE CAFÉ</t>
        </is>
      </c>
      <c r="D197" s="9" t="n">
        <v>0.05</v>
      </c>
      <c r="E197" s="6" t="inlineStr">
        <is>
          <t>KG</t>
        </is>
      </c>
      <c r="F197" s="6">
        <f>IFERROR(SUMPRODUCT(('Ventas del mes'!$A$4:$A$72=A197)*('Ventas del mes'!$B$4:$B$72=B197)*'Ventas del mes'!$C$4:$C$72),0)</f>
        <v/>
      </c>
      <c r="G197" s="9">
        <f>D197*F197</f>
        <v/>
      </c>
    </row>
    <row r="198">
      <c r="A198" s="6" t="inlineStr">
        <is>
          <t>_OBRADOR_ESCANDALLOS</t>
        </is>
      </c>
      <c r="B198" s="6" t="inlineStr">
        <is>
          <t>BRIOCHE AVELLANAS</t>
        </is>
      </c>
      <c r="C198" s="6" t="inlineStr">
        <is>
          <t>Brioche</t>
        </is>
      </c>
      <c r="D198" s="9" t="n">
        <v>0.1</v>
      </c>
      <c r="E198" s="6" t="inlineStr">
        <is>
          <t>KG</t>
        </is>
      </c>
      <c r="F198" s="6">
        <f>IFERROR(SUMPRODUCT(('Ventas del mes'!$A$4:$A$72=A198)*('Ventas del mes'!$B$4:$B$72=B198)*'Ventas del mes'!$C$4:$C$72),0)</f>
        <v/>
      </c>
      <c r="G198" s="9">
        <f>D198*F198</f>
        <v/>
      </c>
    </row>
    <row r="199">
      <c r="A199" s="6" t="inlineStr">
        <is>
          <t>_OBRADOR_ESCANDALLOS</t>
        </is>
      </c>
      <c r="B199" s="6" t="inlineStr">
        <is>
          <t>BRIOCHE AVELLANAS</t>
        </is>
      </c>
      <c r="C199" s="6" t="inlineStr">
        <is>
          <t>MANTEQUILLA FUNDIDA</t>
        </is>
      </c>
      <c r="D199" s="9" t="n">
        <v>0.005</v>
      </c>
      <c r="E199" s="6" t="inlineStr">
        <is>
          <t>KG</t>
        </is>
      </c>
      <c r="F199" s="6">
        <f>IFERROR(SUMPRODUCT(('Ventas del mes'!$A$4:$A$72=A199)*('Ventas del mes'!$B$4:$B$72=B199)*'Ventas del mes'!$C$4:$C$72),0)</f>
        <v/>
      </c>
      <c r="G199" s="9">
        <f>D199*F199</f>
        <v/>
      </c>
    </row>
    <row r="200">
      <c r="A200" s="6" t="inlineStr">
        <is>
          <t>_OBRADOR_ESCANDALLOS</t>
        </is>
      </c>
      <c r="B200" s="6" t="inlineStr">
        <is>
          <t>BRIOCHE AVELLANAS</t>
        </is>
      </c>
      <c r="C200" s="6" t="inlineStr">
        <is>
          <t>AZÚCAR BLANCO</t>
        </is>
      </c>
      <c r="D200" s="9" t="n">
        <v>0.005</v>
      </c>
      <c r="E200" s="6" t="inlineStr">
        <is>
          <t>KG</t>
        </is>
      </c>
      <c r="F200" s="6">
        <f>IFERROR(SUMPRODUCT(('Ventas del mes'!$A$4:$A$72=A200)*('Ventas del mes'!$B$4:$B$72=B200)*'Ventas del mes'!$C$4:$C$72),0)</f>
        <v/>
      </c>
      <c r="G200" s="9">
        <f>D200*F200</f>
        <v/>
      </c>
    </row>
    <row r="201">
      <c r="A201" s="6" t="inlineStr">
        <is>
          <t>_OBRADOR_ESCANDALLOS</t>
        </is>
      </c>
      <c r="B201" s="6" t="inlineStr">
        <is>
          <t>BRIOCHE AVELLANAS</t>
        </is>
      </c>
      <c r="C201" s="6" t="inlineStr">
        <is>
          <t>NAMELAKA DE AVELLANAS</t>
        </is>
      </c>
      <c r="D201" s="9" t="n">
        <v>0.05</v>
      </c>
      <c r="E201" s="6" t="inlineStr">
        <is>
          <t>KG</t>
        </is>
      </c>
      <c r="F201" s="6">
        <f>IFERROR(SUMPRODUCT(('Ventas del mes'!$A$4:$A$72=A201)*('Ventas del mes'!$B$4:$B$72=B201)*'Ventas del mes'!$C$4:$C$72),0)</f>
        <v/>
      </c>
      <c r="G201" s="9">
        <f>D201*F201</f>
        <v/>
      </c>
    </row>
    <row r="202">
      <c r="A202" s="6" t="inlineStr">
        <is>
          <t>_OBRADOR_ESCANDALLOS</t>
        </is>
      </c>
      <c r="B202" s="6" t="inlineStr">
        <is>
          <t>BRIOCHE PISTACHO</t>
        </is>
      </c>
      <c r="C202" s="6" t="inlineStr">
        <is>
          <t>Brioche</t>
        </is>
      </c>
      <c r="D202" s="9" t="n">
        <v>0.1</v>
      </c>
      <c r="E202" s="6" t="inlineStr">
        <is>
          <t>KG</t>
        </is>
      </c>
      <c r="F202" s="6">
        <f>IFERROR(SUMPRODUCT(('Ventas del mes'!$A$4:$A$72=A202)*('Ventas del mes'!$B$4:$B$72=B202)*'Ventas del mes'!$C$4:$C$72),0)</f>
        <v/>
      </c>
      <c r="G202" s="9">
        <f>D202*F202</f>
        <v/>
      </c>
    </row>
    <row r="203">
      <c r="A203" s="6" t="inlineStr">
        <is>
          <t>_OBRADOR_ESCANDALLOS</t>
        </is>
      </c>
      <c r="B203" s="6" t="inlineStr">
        <is>
          <t>BRIOCHE PISTACHO</t>
        </is>
      </c>
      <c r="C203" s="6" t="inlineStr">
        <is>
          <t>MANTEQUILLA FUNDIDA</t>
        </is>
      </c>
      <c r="D203" s="9" t="n">
        <v>0.005</v>
      </c>
      <c r="E203" s="6" t="inlineStr">
        <is>
          <t>KG</t>
        </is>
      </c>
      <c r="F203" s="6">
        <f>IFERROR(SUMPRODUCT(('Ventas del mes'!$A$4:$A$72=A203)*('Ventas del mes'!$B$4:$B$72=B203)*'Ventas del mes'!$C$4:$C$72),0)</f>
        <v/>
      </c>
      <c r="G203" s="9">
        <f>D203*F203</f>
        <v/>
      </c>
    </row>
    <row r="204">
      <c r="A204" s="6" t="inlineStr">
        <is>
          <t>_OBRADOR_ESCANDALLOS</t>
        </is>
      </c>
      <c r="B204" s="6" t="inlineStr">
        <is>
          <t>BRIOCHE PISTACHO</t>
        </is>
      </c>
      <c r="C204" s="6" t="inlineStr">
        <is>
          <t>AZÚCAR BLANCO</t>
        </is>
      </c>
      <c r="D204" s="9" t="n">
        <v>0.005</v>
      </c>
      <c r="E204" s="6" t="inlineStr">
        <is>
          <t>KG</t>
        </is>
      </c>
      <c r="F204" s="6">
        <f>IFERROR(SUMPRODUCT(('Ventas del mes'!$A$4:$A$72=A204)*('Ventas del mes'!$B$4:$B$72=B204)*'Ventas del mes'!$C$4:$C$72),0)</f>
        <v/>
      </c>
      <c r="G204" s="9">
        <f>D204*F204</f>
        <v/>
      </c>
    </row>
    <row r="205">
      <c r="A205" s="6" t="inlineStr">
        <is>
          <t>_OBRADOR_ESCANDALLOS</t>
        </is>
      </c>
      <c r="B205" s="6" t="inlineStr">
        <is>
          <t>BRIOCHE PISTACHO</t>
        </is>
      </c>
      <c r="C205" s="6" t="inlineStr">
        <is>
          <t>NAMELAKA DE PISTACHOS</t>
        </is>
      </c>
      <c r="D205" s="9" t="n">
        <v>0.05</v>
      </c>
      <c r="E205" s="6" t="inlineStr">
        <is>
          <t>KG</t>
        </is>
      </c>
      <c r="F205" s="6">
        <f>IFERROR(SUMPRODUCT(('Ventas del mes'!$A$4:$A$72=A205)*('Ventas del mes'!$B$4:$B$72=B205)*'Ventas del mes'!$C$4:$C$72),0)</f>
        <v/>
      </c>
      <c r="G205" s="9">
        <f>D205*F205</f>
        <v/>
      </c>
    </row>
    <row r="206">
      <c r="A206" s="6" t="inlineStr">
        <is>
          <t>_OBRADOR_ESCANDALLOS</t>
        </is>
      </c>
      <c r="B206" s="6" t="inlineStr">
        <is>
          <t>BRIOCHE NARANJA</t>
        </is>
      </c>
      <c r="C206" s="6" t="inlineStr">
        <is>
          <t>Brioche</t>
        </is>
      </c>
      <c r="D206" s="9" t="n">
        <v>0.1</v>
      </c>
      <c r="E206" s="6" t="inlineStr">
        <is>
          <t>KG</t>
        </is>
      </c>
      <c r="F206" s="6">
        <f>IFERROR(SUMPRODUCT(('Ventas del mes'!$A$4:$A$72=A206)*('Ventas del mes'!$B$4:$B$72=B206)*'Ventas del mes'!$C$4:$C$72),0)</f>
        <v/>
      </c>
      <c r="G206" s="9">
        <f>D206*F206</f>
        <v/>
      </c>
    </row>
    <row r="207">
      <c r="A207" s="6" t="inlineStr">
        <is>
          <t>_OBRADOR_ESCANDALLOS</t>
        </is>
      </c>
      <c r="B207" s="6" t="inlineStr">
        <is>
          <t>BRIOCHE NARANJA</t>
        </is>
      </c>
      <c r="C207" s="6" t="inlineStr">
        <is>
          <t>MANTEQUILLA FUNDIDA</t>
        </is>
      </c>
      <c r="D207" s="9" t="n">
        <v>0.005</v>
      </c>
      <c r="E207" s="6" t="inlineStr">
        <is>
          <t>KG</t>
        </is>
      </c>
      <c r="F207" s="6">
        <f>IFERROR(SUMPRODUCT(('Ventas del mes'!$A$4:$A$72=A207)*('Ventas del mes'!$B$4:$B$72=B207)*'Ventas del mes'!$C$4:$C$72),0)</f>
        <v/>
      </c>
      <c r="G207" s="9">
        <f>D207*F207</f>
        <v/>
      </c>
    </row>
    <row r="208">
      <c r="A208" s="6" t="inlineStr">
        <is>
          <t>_OBRADOR_ESCANDALLOS</t>
        </is>
      </c>
      <c r="B208" s="6" t="inlineStr">
        <is>
          <t>BRIOCHE NARANJA</t>
        </is>
      </c>
      <c r="C208" s="6" t="inlineStr">
        <is>
          <t>AZÚCAR BLANCO</t>
        </is>
      </c>
      <c r="D208" s="9" t="n">
        <v>0.005</v>
      </c>
      <c r="E208" s="6" t="inlineStr">
        <is>
          <t>KG</t>
        </is>
      </c>
      <c r="F208" s="6">
        <f>IFERROR(SUMPRODUCT(('Ventas del mes'!$A$4:$A$72=A208)*('Ventas del mes'!$B$4:$B$72=B208)*'Ventas del mes'!$C$4:$C$72),0)</f>
        <v/>
      </c>
      <c r="G208" s="9">
        <f>D208*F208</f>
        <v/>
      </c>
    </row>
    <row r="209">
      <c r="A209" s="6" t="inlineStr">
        <is>
          <t>_OBRADOR_ESCANDALLOS</t>
        </is>
      </c>
      <c r="B209" s="6" t="inlineStr">
        <is>
          <t>BRIOCHE NARANJA</t>
        </is>
      </c>
      <c r="C209" s="6" t="inlineStr">
        <is>
          <t>DIPLOMATA DE NARANJA</t>
        </is>
      </c>
      <c r="D209" s="9" t="n">
        <v>0.05</v>
      </c>
      <c r="E209" s="6" t="inlineStr">
        <is>
          <t>KG</t>
        </is>
      </c>
      <c r="F209" s="6">
        <f>IFERROR(SUMPRODUCT(('Ventas del mes'!$A$4:$A$72=A209)*('Ventas del mes'!$B$4:$B$72=B209)*'Ventas del mes'!$C$4:$C$72),0)</f>
        <v/>
      </c>
      <c r="G209" s="9">
        <f>D209*F209</f>
        <v/>
      </c>
    </row>
    <row r="210">
      <c r="A210" s="6" t="inlineStr">
        <is>
          <t>_OBRADOR_ESCANDALLOS</t>
        </is>
      </c>
      <c r="B210" s="6" t="inlineStr">
        <is>
          <t>BRIOCHE LECHE MERENGADA</t>
        </is>
      </c>
      <c r="C210" s="6" t="inlineStr">
        <is>
          <t>Brioche</t>
        </is>
      </c>
      <c r="D210" s="9" t="n">
        <v>0.1</v>
      </c>
      <c r="E210" s="6" t="inlineStr">
        <is>
          <t>KG</t>
        </is>
      </c>
      <c r="F210" s="6">
        <f>IFERROR(SUMPRODUCT(('Ventas del mes'!$A$4:$A$72=A210)*('Ventas del mes'!$B$4:$B$72=B210)*'Ventas del mes'!$C$4:$C$72),0)</f>
        <v/>
      </c>
      <c r="G210" s="9">
        <f>D210*F210</f>
        <v/>
      </c>
    </row>
    <row r="211">
      <c r="A211" s="6" t="inlineStr">
        <is>
          <t>_OBRADOR_ESCANDALLOS</t>
        </is>
      </c>
      <c r="B211" s="6" t="inlineStr">
        <is>
          <t>BRIOCHE LECHE MERENGADA</t>
        </is>
      </c>
      <c r="C211" s="6" t="inlineStr">
        <is>
          <t>MANTEQUILLA FUNDIDA</t>
        </is>
      </c>
      <c r="D211" s="9" t="n">
        <v>0.005</v>
      </c>
      <c r="E211" s="6" t="inlineStr">
        <is>
          <t>KG</t>
        </is>
      </c>
      <c r="F211" s="6">
        <f>IFERROR(SUMPRODUCT(('Ventas del mes'!$A$4:$A$72=A211)*('Ventas del mes'!$B$4:$B$72=B211)*'Ventas del mes'!$C$4:$C$72),0)</f>
        <v/>
      </c>
      <c r="G211" s="9">
        <f>D211*F211</f>
        <v/>
      </c>
    </row>
    <row r="212">
      <c r="A212" s="6" t="inlineStr">
        <is>
          <t>_OBRADOR_ESCANDALLOS</t>
        </is>
      </c>
      <c r="B212" s="6" t="inlineStr">
        <is>
          <t>BRIOCHE LECHE MERENGADA</t>
        </is>
      </c>
      <c r="C212" s="6" t="inlineStr">
        <is>
          <t>AZÚCAR BLANCO</t>
        </is>
      </c>
      <c r="D212" s="9" t="n">
        <v>0.005</v>
      </c>
      <c r="E212" s="6" t="inlineStr">
        <is>
          <t>KG</t>
        </is>
      </c>
      <c r="F212" s="6">
        <f>IFERROR(SUMPRODUCT(('Ventas del mes'!$A$4:$A$72=A212)*('Ventas del mes'!$B$4:$B$72=B212)*'Ventas del mes'!$C$4:$C$72),0)</f>
        <v/>
      </c>
      <c r="G212" s="9">
        <f>D212*F212</f>
        <v/>
      </c>
    </row>
    <row r="213">
      <c r="A213" s="6" t="inlineStr">
        <is>
          <t>_OBRADOR_ESCANDALLOS</t>
        </is>
      </c>
      <c r="B213" s="6" t="inlineStr">
        <is>
          <t>BRIOCHE LECHE MERENGADA</t>
        </is>
      </c>
      <c r="C213" s="6" t="inlineStr">
        <is>
          <t>DIPLOMATA DE LECHE MERENGADA</t>
        </is>
      </c>
      <c r="D213" s="9" t="n">
        <v>0.05</v>
      </c>
      <c r="E213" s="6" t="inlineStr">
        <is>
          <t>KG</t>
        </is>
      </c>
      <c r="F213" s="6">
        <f>IFERROR(SUMPRODUCT(('Ventas del mes'!$A$4:$A$72=A213)*('Ventas del mes'!$B$4:$B$72=B213)*'Ventas del mes'!$C$4:$C$72),0)</f>
        <v/>
      </c>
      <c r="G213" s="9">
        <f>D213*F213</f>
        <v/>
      </c>
    </row>
    <row r="214">
      <c r="A214" s="6" t="inlineStr">
        <is>
          <t>_OBRADOR_ESCANDALLOS</t>
        </is>
      </c>
      <c r="B214" s="6" t="inlineStr">
        <is>
          <t>BRIOCHE NATA FRESCA</t>
        </is>
      </c>
      <c r="C214" s="6" t="inlineStr">
        <is>
          <t>Brioche</t>
        </is>
      </c>
      <c r="D214" s="9" t="n">
        <v>0.1</v>
      </c>
      <c r="E214" s="6" t="inlineStr">
        <is>
          <t>KG</t>
        </is>
      </c>
      <c r="F214" s="6">
        <f>IFERROR(SUMPRODUCT(('Ventas del mes'!$A$4:$A$72=A214)*('Ventas del mes'!$B$4:$B$72=B214)*'Ventas del mes'!$C$4:$C$72),0)</f>
        <v/>
      </c>
      <c r="G214" s="9">
        <f>D214*F214</f>
        <v/>
      </c>
    </row>
    <row r="215">
      <c r="A215" s="6" t="inlineStr">
        <is>
          <t>_OBRADOR_ESCANDALLOS</t>
        </is>
      </c>
      <c r="B215" s="6" t="inlineStr">
        <is>
          <t>BRIOCHE NATA FRESCA</t>
        </is>
      </c>
      <c r="C215" s="6" t="inlineStr">
        <is>
          <t>MANTEQUILLA FUNDIDA</t>
        </is>
      </c>
      <c r="D215" s="9" t="n">
        <v>0.005</v>
      </c>
      <c r="E215" s="6" t="inlineStr">
        <is>
          <t>KG</t>
        </is>
      </c>
      <c r="F215" s="6">
        <f>IFERROR(SUMPRODUCT(('Ventas del mes'!$A$4:$A$72=A215)*('Ventas del mes'!$B$4:$B$72=B215)*'Ventas del mes'!$C$4:$C$72),0)</f>
        <v/>
      </c>
      <c r="G215" s="9">
        <f>D215*F215</f>
        <v/>
      </c>
    </row>
    <row r="216">
      <c r="A216" s="6" t="inlineStr">
        <is>
          <t>_OBRADOR_ESCANDALLOS</t>
        </is>
      </c>
      <c r="B216" s="6" t="inlineStr">
        <is>
          <t>BRIOCHE NATA FRESCA</t>
        </is>
      </c>
      <c r="C216" s="6" t="inlineStr">
        <is>
          <t>AZÚCAR BLANCO</t>
        </is>
      </c>
      <c r="D216" s="9" t="n">
        <v>0.005</v>
      </c>
      <c r="E216" s="6" t="inlineStr">
        <is>
          <t>KG</t>
        </is>
      </c>
      <c r="F216" s="6">
        <f>IFERROR(SUMPRODUCT(('Ventas del mes'!$A$4:$A$72=A216)*('Ventas del mes'!$B$4:$B$72=B216)*'Ventas del mes'!$C$4:$C$72),0)</f>
        <v/>
      </c>
      <c r="G216" s="9">
        <f>D216*F216</f>
        <v/>
      </c>
    </row>
    <row r="217">
      <c r="A217" s="6" t="inlineStr">
        <is>
          <t>_OBRADOR_ESCANDALLOS</t>
        </is>
      </c>
      <c r="B217" s="6" t="inlineStr">
        <is>
          <t>BRIOCHE NATA FRESCA</t>
        </is>
      </c>
      <c r="C217" s="6" t="inlineStr">
        <is>
          <t>NATA FRESCA</t>
        </is>
      </c>
      <c r="D217" s="9" t="n">
        <v>0.05</v>
      </c>
      <c r="E217" s="6" t="inlineStr">
        <is>
          <t>KG</t>
        </is>
      </c>
      <c r="F217" s="6">
        <f>IFERROR(SUMPRODUCT(('Ventas del mes'!$A$4:$A$72=A217)*('Ventas del mes'!$B$4:$B$72=B217)*'Ventas del mes'!$C$4:$C$72),0)</f>
        <v/>
      </c>
      <c r="G217" s="9">
        <f>D217*F217</f>
        <v/>
      </c>
    </row>
    <row r="218">
      <c r="A218" s="6" t="inlineStr">
        <is>
          <t>_OBRADOR_ESCANDALLOS</t>
        </is>
      </c>
      <c r="B218" s="6" t="inlineStr">
        <is>
          <t>BRIOCHE CHOCOLATE</t>
        </is>
      </c>
      <c r="C218" s="6" t="inlineStr">
        <is>
          <t>Brioche</t>
        </is>
      </c>
      <c r="D218" s="9" t="n">
        <v>0.1</v>
      </c>
      <c r="E218" s="6" t="inlineStr">
        <is>
          <t>KG</t>
        </is>
      </c>
      <c r="F218" s="6">
        <f>IFERROR(SUMPRODUCT(('Ventas del mes'!$A$4:$A$72=A218)*('Ventas del mes'!$B$4:$B$72=B218)*'Ventas del mes'!$C$4:$C$72),0)</f>
        <v/>
      </c>
      <c r="G218" s="9">
        <f>D218*F218</f>
        <v/>
      </c>
    </row>
    <row r="219">
      <c r="A219" s="6" t="inlineStr">
        <is>
          <t>_OBRADOR_ESCANDALLOS</t>
        </is>
      </c>
      <c r="B219" s="6" t="inlineStr">
        <is>
          <t>BRIOCHE CHOCOLATE</t>
        </is>
      </c>
      <c r="C219" s="6" t="inlineStr">
        <is>
          <t>MANTEQUILLA FUNDIDA</t>
        </is>
      </c>
      <c r="D219" s="9" t="n">
        <v>0.005</v>
      </c>
      <c r="E219" s="6" t="inlineStr">
        <is>
          <t>KG</t>
        </is>
      </c>
      <c r="F219" s="6">
        <f>IFERROR(SUMPRODUCT(('Ventas del mes'!$A$4:$A$72=A219)*('Ventas del mes'!$B$4:$B$72=B219)*'Ventas del mes'!$C$4:$C$72),0)</f>
        <v/>
      </c>
      <c r="G219" s="9">
        <f>D219*F219</f>
        <v/>
      </c>
    </row>
    <row r="220">
      <c r="A220" s="6" t="inlineStr">
        <is>
          <t>_OBRADOR_ESCANDALLOS</t>
        </is>
      </c>
      <c r="B220" s="6" t="inlineStr">
        <is>
          <t>BRIOCHE CHOCOLATE</t>
        </is>
      </c>
      <c r="C220" s="6" t="inlineStr">
        <is>
          <t>AZÚCAR BLANCO</t>
        </is>
      </c>
      <c r="D220" s="9" t="n">
        <v>0.005</v>
      </c>
      <c r="E220" s="6" t="inlineStr">
        <is>
          <t>KG</t>
        </is>
      </c>
      <c r="F220" s="6">
        <f>IFERROR(SUMPRODUCT(('Ventas del mes'!$A$4:$A$72=A220)*('Ventas del mes'!$B$4:$B$72=B220)*'Ventas del mes'!$C$4:$C$72),0)</f>
        <v/>
      </c>
      <c r="G220" s="9">
        <f>D220*F220</f>
        <v/>
      </c>
    </row>
    <row r="221">
      <c r="A221" s="6" t="inlineStr">
        <is>
          <t>_OBRADOR_ESCANDALLOS</t>
        </is>
      </c>
      <c r="B221" s="6" t="inlineStr">
        <is>
          <t>BRIOCHE CHOCOLATE</t>
        </is>
      </c>
      <c r="C221" s="6" t="inlineStr">
        <is>
          <t>CREMOSO DE CHOCOLATE</t>
        </is>
      </c>
      <c r="D221" s="9" t="n">
        <v>0.05</v>
      </c>
      <c r="E221" s="6" t="inlineStr">
        <is>
          <t>KG</t>
        </is>
      </c>
      <c r="F221" s="6">
        <f>IFERROR(SUMPRODUCT(('Ventas del mes'!$A$4:$A$72=A221)*('Ventas del mes'!$B$4:$B$72=B221)*'Ventas del mes'!$C$4:$C$72),0)</f>
        <v/>
      </c>
      <c r="G221" s="9">
        <f>D221*F221</f>
        <v/>
      </c>
    </row>
    <row r="222">
      <c r="A222" s="6" t="inlineStr">
        <is>
          <t>_OBRADOR_ESCANDALLOS</t>
        </is>
      </c>
      <c r="B222" s="6" t="inlineStr">
        <is>
          <t>CAKE CHOCOLATE, AOVE Y SAL</t>
        </is>
      </c>
      <c r="C222" s="6" t="inlineStr">
        <is>
          <t>BIZCOCHO DE CHOCOLATE</t>
        </is>
      </c>
      <c r="D222" s="9" t="n">
        <v>1</v>
      </c>
      <c r="E222" s="6" t="inlineStr">
        <is>
          <t>UNIDAD</t>
        </is>
      </c>
      <c r="F222" s="6">
        <f>IFERROR(SUMPRODUCT(('Ventas del mes'!$A$4:$A$72=A222)*('Ventas del mes'!$B$4:$B$72=B222)*'Ventas del mes'!$C$4:$C$72),0)</f>
        <v/>
      </c>
      <c r="G222" s="9">
        <f>D222*F222</f>
        <v/>
      </c>
    </row>
    <row r="223">
      <c r="A223" s="6" t="inlineStr">
        <is>
          <t>_OBRADOR_ESCANDALLOS</t>
        </is>
      </c>
      <c r="B223" s="6" t="inlineStr">
        <is>
          <t>CAKE CHOCOLATE, AOVE Y SAL</t>
        </is>
      </c>
      <c r="C223" s="6" t="inlineStr">
        <is>
          <t>ALMIBAR DE CACAO</t>
        </is>
      </c>
      <c r="D223" s="9" t="n">
        <v>0.25</v>
      </c>
      <c r="E223" s="6" t="inlineStr">
        <is>
          <t>KG</t>
        </is>
      </c>
      <c r="F223" s="6">
        <f>IFERROR(SUMPRODUCT(('Ventas del mes'!$A$4:$A$72=A223)*('Ventas del mes'!$B$4:$B$72=B223)*'Ventas del mes'!$C$4:$C$72),0)</f>
        <v/>
      </c>
      <c r="G223" s="9">
        <f>D223*F223</f>
        <v/>
      </c>
    </row>
    <row r="224">
      <c r="A224" s="6" t="inlineStr">
        <is>
          <t>_OBRADOR_ESCANDALLOS</t>
        </is>
      </c>
      <c r="B224" s="6" t="inlineStr">
        <is>
          <t>CAKE CHOCOLATE, AOVE Y SAL</t>
        </is>
      </c>
      <c r="C224" s="6" t="inlineStr">
        <is>
          <t>AOVE</t>
        </is>
      </c>
      <c r="D224" s="10" t="n">
        <v>0</v>
      </c>
      <c r="E224" s="6" t="inlineStr">
        <is>
          <t>KG</t>
        </is>
      </c>
      <c r="F224" s="6">
        <f>IFERROR(SUMPRODUCT(('Ventas del mes'!$A$4:$A$72=A224)*('Ventas del mes'!$B$4:$B$72=B224)*'Ventas del mes'!$C$4:$C$72),0)</f>
        <v/>
      </c>
      <c r="G224" s="9">
        <f>D224*F224</f>
        <v/>
      </c>
    </row>
    <row r="225">
      <c r="A225" s="6" t="inlineStr">
        <is>
          <t>_OBRADOR_ESCANDALLOS</t>
        </is>
      </c>
      <c r="B225" s="6" t="inlineStr">
        <is>
          <t>CAKE CHOCOLATE, AOVE Y SAL</t>
        </is>
      </c>
      <c r="C225" s="6" t="inlineStr">
        <is>
          <t>SAL MALDON</t>
        </is>
      </c>
      <c r="D225" s="9" t="n">
        <v>0.04</v>
      </c>
      <c r="E225" s="6" t="inlineStr">
        <is>
          <t>KG</t>
        </is>
      </c>
      <c r="F225" s="6">
        <f>IFERROR(SUMPRODUCT(('Ventas del mes'!$A$4:$A$72=A225)*('Ventas del mes'!$B$4:$B$72=B225)*'Ventas del mes'!$C$4:$C$72),0)</f>
        <v/>
      </c>
      <c r="G225" s="9">
        <f>D225*F225</f>
        <v/>
      </c>
    </row>
    <row r="226">
      <c r="A226" s="6" t="inlineStr">
        <is>
          <t>_OBRADOR_ESCANDALLOS</t>
        </is>
      </c>
      <c r="B226" s="6" t="inlineStr">
        <is>
          <t>CAKE NARANJA Y PISTACHO</t>
        </is>
      </c>
      <c r="C226" s="6" t="inlineStr">
        <is>
          <t>BIZCOCHO DE NARANJA Y PISTACHO</t>
        </is>
      </c>
      <c r="D226" s="9" t="n">
        <v>1</v>
      </c>
      <c r="E226" s="6" t="inlineStr">
        <is>
          <t>UNIDAD</t>
        </is>
      </c>
      <c r="F226" s="6">
        <f>IFERROR(SUMPRODUCT(('Ventas del mes'!$A$4:$A$72=A226)*('Ventas del mes'!$B$4:$B$72=B226)*'Ventas del mes'!$C$4:$C$72),0)</f>
        <v/>
      </c>
      <c r="G226" s="9">
        <f>D226*F226</f>
        <v/>
      </c>
    </row>
    <row r="227">
      <c r="A227" s="6" t="inlineStr">
        <is>
          <t>_OBRADOR_ESCANDALLOS</t>
        </is>
      </c>
      <c r="B227" s="6" t="inlineStr">
        <is>
          <t>CAKE NARANJA Y PISTACHO</t>
        </is>
      </c>
      <c r="C227" s="6" t="inlineStr">
        <is>
          <t>ALMIBAR DE NARANJA Y MANDARINA</t>
        </is>
      </c>
      <c r="D227" s="9" t="n">
        <v>0.25</v>
      </c>
      <c r="E227" s="6" t="inlineStr">
        <is>
          <t>KG</t>
        </is>
      </c>
      <c r="F227" s="6">
        <f>IFERROR(SUMPRODUCT(('Ventas del mes'!$A$4:$A$72=A227)*('Ventas del mes'!$B$4:$B$72=B227)*'Ventas del mes'!$C$4:$C$72),0)</f>
        <v/>
      </c>
      <c r="G227" s="9">
        <f>D227*F227</f>
        <v/>
      </c>
    </row>
    <row r="228">
      <c r="A228" s="6" t="inlineStr">
        <is>
          <t>_OBRADOR_ESCANDALLOS</t>
        </is>
      </c>
      <c r="B228" s="6" t="inlineStr">
        <is>
          <t>CAKE NARANJA Y PISTACHO</t>
        </is>
      </c>
      <c r="C228" s="6" t="inlineStr">
        <is>
          <t>GLASA DE NARANJA Y CARDAMOMO</t>
        </is>
      </c>
      <c r="D228" s="9" t="n">
        <v>0.25</v>
      </c>
      <c r="E228" s="6" t="inlineStr">
        <is>
          <t>KG</t>
        </is>
      </c>
      <c r="F228" s="6">
        <f>IFERROR(SUMPRODUCT(('Ventas del mes'!$A$4:$A$72=A228)*('Ventas del mes'!$B$4:$B$72=B228)*'Ventas del mes'!$C$4:$C$72),0)</f>
        <v/>
      </c>
      <c r="G228" s="9">
        <f>D228*F228</f>
        <v/>
      </c>
    </row>
    <row r="229">
      <c r="A229" s="6" t="inlineStr">
        <is>
          <t>_OBRADOR_ESCANDALLOS</t>
        </is>
      </c>
      <c r="B229" s="6" t="inlineStr">
        <is>
          <t>CAKE NARANJA Y PISTACHO</t>
        </is>
      </c>
      <c r="C229" s="6" t="inlineStr">
        <is>
          <t>PISATCHOS TROCEADOS</t>
        </is>
      </c>
      <c r="D229" s="9" t="n">
        <v>0.015</v>
      </c>
      <c r="E229" s="6" t="inlineStr">
        <is>
          <t>KG</t>
        </is>
      </c>
      <c r="F229" s="6">
        <f>IFERROR(SUMPRODUCT(('Ventas del mes'!$A$4:$A$72=A229)*('Ventas del mes'!$B$4:$B$72=B229)*'Ventas del mes'!$C$4:$C$72),0)</f>
        <v/>
      </c>
      <c r="G229" s="9">
        <f>D229*F229</f>
        <v/>
      </c>
    </row>
    <row r="230">
      <c r="A230" s="6" t="inlineStr">
        <is>
          <t>_OBRADOR_ESCANDALLOS</t>
        </is>
      </c>
      <c r="B230" s="6" t="inlineStr">
        <is>
          <t>CAKE NARANJA Y PISTACHO</t>
        </is>
      </c>
      <c r="C230" s="6" t="inlineStr">
        <is>
          <t>RALLADURA DE NARANJA</t>
        </is>
      </c>
      <c r="D230" s="9" t="n">
        <v>0.005</v>
      </c>
      <c r="E230" s="6" t="inlineStr">
        <is>
          <t>KG</t>
        </is>
      </c>
      <c r="F230" s="6">
        <f>IFERROR(SUMPRODUCT(('Ventas del mes'!$A$4:$A$72=A230)*('Ventas del mes'!$B$4:$B$72=B230)*'Ventas del mes'!$C$4:$C$72),0)</f>
        <v/>
      </c>
      <c r="G230" s="9">
        <f>D230*F230</f>
        <v/>
      </c>
    </row>
    <row r="231">
      <c r="A231" s="6" t="inlineStr">
        <is>
          <t>_OBRADOR_ESCANDALLOS</t>
        </is>
      </c>
      <c r="B231" s="6" t="inlineStr">
        <is>
          <t>CAKE ALMENDRAS</t>
        </is>
      </c>
      <c r="C231" s="6" t="inlineStr">
        <is>
          <t>BIZCOCHO DE ALMENDRAS</t>
        </is>
      </c>
      <c r="D231" s="9" t="n">
        <v>1</v>
      </c>
      <c r="E231" s="6" t="inlineStr">
        <is>
          <t>UNIDAD</t>
        </is>
      </c>
      <c r="F231" s="6">
        <f>IFERROR(SUMPRODUCT(('Ventas del mes'!$A$4:$A$72=A231)*('Ventas del mes'!$B$4:$B$72=B231)*'Ventas del mes'!$C$4:$C$72),0)</f>
        <v/>
      </c>
      <c r="G231" s="9">
        <f>D231*F231</f>
        <v/>
      </c>
    </row>
    <row r="232">
      <c r="A232" s="6" t="inlineStr">
        <is>
          <t>_OBRADOR_ESCANDALLOS</t>
        </is>
      </c>
      <c r="B232" s="6" t="inlineStr">
        <is>
          <t>CAKE ALMENDRAS</t>
        </is>
      </c>
      <c r="C232" s="6" t="inlineStr">
        <is>
          <t>ALMIBAR DE AZAHAR Y MANDARINA</t>
        </is>
      </c>
      <c r="D232" s="9" t="n">
        <v>0.12</v>
      </c>
      <c r="E232" s="6" t="inlineStr">
        <is>
          <t>KG</t>
        </is>
      </c>
      <c r="F232" s="6">
        <f>IFERROR(SUMPRODUCT(('Ventas del mes'!$A$4:$A$72=A232)*('Ventas del mes'!$B$4:$B$72=B232)*'Ventas del mes'!$C$4:$C$72),0)</f>
        <v/>
      </c>
      <c r="G232" s="9">
        <f>D232*F232</f>
        <v/>
      </c>
    </row>
    <row r="233">
      <c r="A233" s="6" t="inlineStr">
        <is>
          <t>_OBRADOR_ESCANDALLOS</t>
        </is>
      </c>
      <c r="B233" s="6" t="inlineStr">
        <is>
          <t>CAKE ALMENDRAS</t>
        </is>
      </c>
      <c r="C233" s="6" t="inlineStr">
        <is>
          <t>GLASA DE YOGURTH</t>
        </is>
      </c>
      <c r="D233" s="9" t="n">
        <v>0.24</v>
      </c>
      <c r="E233" s="6" t="inlineStr">
        <is>
          <t>KG</t>
        </is>
      </c>
      <c r="F233" s="6">
        <f>IFERROR(SUMPRODUCT(('Ventas del mes'!$A$4:$A$72=A233)*('Ventas del mes'!$B$4:$B$72=B233)*'Ventas del mes'!$C$4:$C$72),0)</f>
        <v/>
      </c>
      <c r="G233" s="9">
        <f>D233*F233</f>
        <v/>
      </c>
    </row>
    <row r="234">
      <c r="A234" s="6" t="inlineStr">
        <is>
          <t>_OBRADOR_ESCANDALLOS</t>
        </is>
      </c>
      <c r="B234" s="6" t="inlineStr">
        <is>
          <t>CAKE ALMENDRAS</t>
        </is>
      </c>
      <c r="C234" s="6" t="inlineStr">
        <is>
          <t>ALAMENDRAS LAMINADAS</t>
        </is>
      </c>
      <c r="D234" s="9" t="n">
        <v>0.015</v>
      </c>
      <c r="E234" s="6" t="inlineStr">
        <is>
          <t>KG</t>
        </is>
      </c>
      <c r="F234" s="6">
        <f>IFERROR(SUMPRODUCT(('Ventas del mes'!$A$4:$A$72=A234)*('Ventas del mes'!$B$4:$B$72=B234)*'Ventas del mes'!$C$4:$C$72),0)</f>
        <v/>
      </c>
      <c r="G234" s="9">
        <f>D234*F234</f>
        <v/>
      </c>
    </row>
    <row r="235">
      <c r="A235" s="6" t="inlineStr">
        <is>
          <t>_OBRADOR_ESCANDALLOS</t>
        </is>
      </c>
      <c r="B235" s="6" t="inlineStr">
        <is>
          <t>CAKE CAFÉ</t>
        </is>
      </c>
      <c r="C235" s="6" t="inlineStr">
        <is>
          <t>BIZCOCHO DE CAFÉ Y NUECES</t>
        </is>
      </c>
      <c r="D235" s="9" t="n">
        <v>1</v>
      </c>
      <c r="E235" s="6" t="inlineStr">
        <is>
          <t>UNIDAD</t>
        </is>
      </c>
      <c r="F235" s="6">
        <f>IFERROR(SUMPRODUCT(('Ventas del mes'!$A$4:$A$72=A235)*('Ventas del mes'!$B$4:$B$72=B235)*'Ventas del mes'!$C$4:$C$72),0)</f>
        <v/>
      </c>
      <c r="G235" s="9">
        <f>D235*F235</f>
        <v/>
      </c>
    </row>
    <row r="236">
      <c r="A236" s="6" t="inlineStr">
        <is>
          <t>_OBRADOR_ESCANDALLOS</t>
        </is>
      </c>
      <c r="B236" s="6" t="inlineStr">
        <is>
          <t>CAKE CAFÉ</t>
        </is>
      </c>
      <c r="C236" s="6" t="inlineStr">
        <is>
          <t>ALMIBAR DE CAFÉ VAINILLA Y HABA TONKA</t>
        </is>
      </c>
      <c r="D236" s="9" t="n">
        <v>0.12</v>
      </c>
      <c r="E236" s="6" t="inlineStr">
        <is>
          <t>KG</t>
        </is>
      </c>
      <c r="F236" s="6">
        <f>IFERROR(SUMPRODUCT(('Ventas del mes'!$A$4:$A$72=A236)*('Ventas del mes'!$B$4:$B$72=B236)*'Ventas del mes'!$C$4:$C$72),0)</f>
        <v/>
      </c>
      <c r="G236" s="9">
        <f>D236*F236</f>
        <v/>
      </c>
    </row>
    <row r="237">
      <c r="A237" s="6" t="inlineStr">
        <is>
          <t>_OBRADOR_ESCANDALLOS</t>
        </is>
      </c>
      <c r="B237" s="6" t="inlineStr">
        <is>
          <t>CAKE CAFÉ</t>
        </is>
      </c>
      <c r="C237" s="6" t="inlineStr">
        <is>
          <t>GLASA DE CAFÉ</t>
        </is>
      </c>
      <c r="D237" s="9" t="n">
        <v>0.24</v>
      </c>
      <c r="E237" s="6" t="inlineStr">
        <is>
          <t>KG</t>
        </is>
      </c>
      <c r="F237" s="6">
        <f>IFERROR(SUMPRODUCT(('Ventas del mes'!$A$4:$A$72=A237)*('Ventas del mes'!$B$4:$B$72=B237)*'Ventas del mes'!$C$4:$C$72),0)</f>
        <v/>
      </c>
      <c r="G237" s="9">
        <f>D237*F237</f>
        <v/>
      </c>
    </row>
    <row r="238">
      <c r="A238" s="6" t="inlineStr">
        <is>
          <t>_OBRADOR_ESCANDALLOS</t>
        </is>
      </c>
      <c r="B238" s="6" t="inlineStr">
        <is>
          <t>CAKE CAFÉ</t>
        </is>
      </c>
      <c r="C238" s="6" t="inlineStr">
        <is>
          <t>NUECES TROCEADAS</t>
        </is>
      </c>
      <c r="D238" s="9" t="n">
        <v>0.015</v>
      </c>
      <c r="E238" s="6" t="inlineStr">
        <is>
          <t>KG</t>
        </is>
      </c>
      <c r="F238" s="6">
        <f>IFERROR(SUMPRODUCT(('Ventas del mes'!$A$4:$A$72=A238)*('Ventas del mes'!$B$4:$B$72=B238)*'Ventas del mes'!$C$4:$C$72),0)</f>
        <v/>
      </c>
      <c r="G238" s="9">
        <f>D238*F238</f>
        <v/>
      </c>
    </row>
    <row r="239">
      <c r="A239" s="6" t="inlineStr">
        <is>
          <t>_OBRADOR_ESCANDALLOS</t>
        </is>
      </c>
      <c r="B239" s="6" t="inlineStr">
        <is>
          <t>CAKE ZANAHORIA Y NARANJA</t>
        </is>
      </c>
      <c r="C239" s="6" t="inlineStr">
        <is>
          <t>BIZCOCHO DE ZANAHORIA</t>
        </is>
      </c>
      <c r="D239" s="9" t="n">
        <v>1</v>
      </c>
      <c r="E239" s="6" t="inlineStr">
        <is>
          <t>UNIDAD</t>
        </is>
      </c>
      <c r="F239" s="6">
        <f>IFERROR(SUMPRODUCT(('Ventas del mes'!$A$4:$A$72=A239)*('Ventas del mes'!$B$4:$B$72=B239)*'Ventas del mes'!$C$4:$C$72),0)</f>
        <v/>
      </c>
      <c r="G239" s="9">
        <f>D239*F239</f>
        <v/>
      </c>
    </row>
    <row r="240">
      <c r="A240" s="6" t="inlineStr">
        <is>
          <t>_OBRADOR_ESCANDALLOS</t>
        </is>
      </c>
      <c r="B240" s="6" t="inlineStr">
        <is>
          <t>CAKE ZANAHORIA Y NARANJA</t>
        </is>
      </c>
      <c r="C240" s="6" t="inlineStr">
        <is>
          <t>GLASA DE NARANJA Y CARDAMOMO</t>
        </is>
      </c>
      <c r="D240" s="9" t="n">
        <v>0.25</v>
      </c>
      <c r="E240" s="6" t="inlineStr">
        <is>
          <t>KG</t>
        </is>
      </c>
      <c r="F240" s="6">
        <f>IFERROR(SUMPRODUCT(('Ventas del mes'!$A$4:$A$72=A240)*('Ventas del mes'!$B$4:$B$72=B240)*'Ventas del mes'!$C$4:$C$72),0)</f>
        <v/>
      </c>
      <c r="G240" s="9">
        <f>D240*F240</f>
        <v/>
      </c>
    </row>
    <row r="241">
      <c r="A241" s="6" t="inlineStr">
        <is>
          <t>_OBRADOR_ESCANDALLOS</t>
        </is>
      </c>
      <c r="B241" s="6" t="inlineStr">
        <is>
          <t>CAKE ZANAHORIA Y NARANJA</t>
        </is>
      </c>
      <c r="C241" s="6" t="inlineStr">
        <is>
          <t>RALLADURA DE NARANJA</t>
        </is>
      </c>
      <c r="D241" s="9" t="n">
        <v>0.005</v>
      </c>
      <c r="E241" s="6" t="inlineStr">
        <is>
          <t>KG</t>
        </is>
      </c>
      <c r="F241" s="6">
        <f>IFERROR(SUMPRODUCT(('Ventas del mes'!$A$4:$A$72=A241)*('Ventas del mes'!$B$4:$B$72=B241)*'Ventas del mes'!$C$4:$C$72),0)</f>
        <v/>
      </c>
      <c r="G241" s="9">
        <f>D241*F241</f>
        <v/>
      </c>
    </row>
    <row r="242">
      <c r="A242" s="6" t="inlineStr">
        <is>
          <t>_OBRADOR_ESCANDALLOS</t>
        </is>
      </c>
      <c r="B242" s="6" t="inlineStr">
        <is>
          <t>CAKE LIMÓN Y ROMERO</t>
        </is>
      </c>
      <c r="C242" s="6" t="inlineStr">
        <is>
          <t>BIZCOCHO DE LIMÓN</t>
        </is>
      </c>
      <c r="D242" s="9" t="n">
        <v>1</v>
      </c>
      <c r="E242" s="6" t="inlineStr">
        <is>
          <t>UNIDAD</t>
        </is>
      </c>
      <c r="F242" s="6">
        <f>IFERROR(SUMPRODUCT(('Ventas del mes'!$A$4:$A$72=A242)*('Ventas del mes'!$B$4:$B$72=B242)*'Ventas del mes'!$C$4:$C$72),0)</f>
        <v/>
      </c>
      <c r="G242" s="9">
        <f>D242*F242</f>
        <v/>
      </c>
    </row>
    <row r="243">
      <c r="A243" s="6" t="inlineStr">
        <is>
          <t>_OBRADOR_ESCANDALLOS</t>
        </is>
      </c>
      <c r="B243" s="6" t="inlineStr">
        <is>
          <t>CAKE LIMÓN Y ROMERO</t>
        </is>
      </c>
      <c r="C243" s="6" t="inlineStr">
        <is>
          <t>ALMIBAR DE LIMÓN Y ROMERO</t>
        </is>
      </c>
      <c r="D243" s="9" t="n">
        <v>0.25</v>
      </c>
      <c r="E243" s="6" t="inlineStr">
        <is>
          <t>KG</t>
        </is>
      </c>
      <c r="F243" s="6">
        <f>IFERROR(SUMPRODUCT(('Ventas del mes'!$A$4:$A$72=A243)*('Ventas del mes'!$B$4:$B$72=B243)*'Ventas del mes'!$C$4:$C$72),0)</f>
        <v/>
      </c>
      <c r="G243" s="9">
        <f>D243*F243</f>
        <v/>
      </c>
    </row>
    <row r="244">
      <c r="A244" s="6" t="inlineStr">
        <is>
          <t>_OBRADOR_ESCANDALLOS</t>
        </is>
      </c>
      <c r="B244" s="6" t="inlineStr">
        <is>
          <t>CAKE LIMÓN Y ROMERO</t>
        </is>
      </c>
      <c r="C244" s="6" t="inlineStr">
        <is>
          <t>GLASA DE LIMÓN</t>
        </is>
      </c>
      <c r="D244" s="9" t="n">
        <v>0.24</v>
      </c>
      <c r="E244" s="6" t="inlineStr">
        <is>
          <t>KG</t>
        </is>
      </c>
      <c r="F244" s="6">
        <f>IFERROR(SUMPRODUCT(('Ventas del mes'!$A$4:$A$72=A244)*('Ventas del mes'!$B$4:$B$72=B244)*'Ventas del mes'!$C$4:$C$72),0)</f>
        <v/>
      </c>
      <c r="G244" s="9">
        <f>D244*F244</f>
        <v/>
      </c>
    </row>
    <row r="245">
      <c r="A245" s="6" t="inlineStr">
        <is>
          <t>_OBRADOR_ESCANDALLOS</t>
        </is>
      </c>
      <c r="B245" s="6" t="inlineStr">
        <is>
          <t>CAKE LIMÓN Y ROMERO</t>
        </is>
      </c>
      <c r="C245" s="6" t="inlineStr">
        <is>
          <t>ROMERO FRESCO</t>
        </is>
      </c>
      <c r="D245" s="9" t="n">
        <v>0.005</v>
      </c>
      <c r="E245" s="6" t="inlineStr">
        <is>
          <t>KG</t>
        </is>
      </c>
      <c r="F245" s="6">
        <f>IFERROR(SUMPRODUCT(('Ventas del mes'!$A$4:$A$72=A245)*('Ventas del mes'!$B$4:$B$72=B245)*'Ventas del mes'!$C$4:$C$72),0)</f>
        <v/>
      </c>
      <c r="G245" s="9">
        <f>D245*F245</f>
        <v/>
      </c>
    </row>
    <row r="246">
      <c r="A246" s="6" t="inlineStr">
        <is>
          <t>_OBRADOR_ESCANDALLOS</t>
        </is>
      </c>
      <c r="B246" s="6" t="inlineStr">
        <is>
          <t>CAKE LIMÓN Y ROMERO</t>
        </is>
      </c>
      <c r="C246" s="6" t="inlineStr">
        <is>
          <t>Ralladura de limón</t>
        </is>
      </c>
      <c r="D246" s="9" t="n">
        <v>0.005</v>
      </c>
      <c r="E246" s="6" t="inlineStr">
        <is>
          <t>KG</t>
        </is>
      </c>
      <c r="F246" s="6">
        <f>IFERROR(SUMPRODUCT(('Ventas del mes'!$A$4:$A$72=A246)*('Ventas del mes'!$B$4:$B$72=B246)*'Ventas del mes'!$C$4:$C$72),0)</f>
        <v/>
      </c>
      <c r="G246" s="9">
        <f>D246*F246</f>
        <v/>
      </c>
    </row>
    <row r="247">
      <c r="A247" s="6" t="inlineStr">
        <is>
          <t>_OBRADOR_ESCANDALLOS</t>
        </is>
      </c>
      <c r="B247" s="6" t="inlineStr">
        <is>
          <t>CAKE CHOCOLATE Y AVELLANAS</t>
        </is>
      </c>
      <c r="C247" s="6" t="inlineStr">
        <is>
          <t>BIZCOCHO DE CHOCOLATE</t>
        </is>
      </c>
      <c r="D247" s="9" t="n">
        <v>1</v>
      </c>
      <c r="E247" s="6" t="inlineStr">
        <is>
          <t>UNIDAD</t>
        </is>
      </c>
      <c r="F247" s="6">
        <f>IFERROR(SUMPRODUCT(('Ventas del mes'!$A$4:$A$72=A247)*('Ventas del mes'!$B$4:$B$72=B247)*'Ventas del mes'!$C$4:$C$72),0)</f>
        <v/>
      </c>
      <c r="G247" s="9">
        <f>D247*F247</f>
        <v/>
      </c>
    </row>
    <row r="248">
      <c r="A248" s="6" t="inlineStr">
        <is>
          <t>_OBRADOR_ESCANDALLOS</t>
        </is>
      </c>
      <c r="B248" s="6" t="inlineStr">
        <is>
          <t>CAKE CHOCOLATE Y AVELLANAS</t>
        </is>
      </c>
      <c r="C248" s="6" t="inlineStr">
        <is>
          <t>ALMIBAR DE CAFÉ VAINILLA Y HABA TONKA</t>
        </is>
      </c>
      <c r="D248" s="9" t="n">
        <v>0.25</v>
      </c>
      <c r="E248" s="6" t="inlineStr">
        <is>
          <t>KG</t>
        </is>
      </c>
      <c r="F248" s="6">
        <f>IFERROR(SUMPRODUCT(('Ventas del mes'!$A$4:$A$72=A248)*('Ventas del mes'!$B$4:$B$72=B248)*'Ventas del mes'!$C$4:$C$72),0)</f>
        <v/>
      </c>
      <c r="G248" s="9">
        <f>D248*F248</f>
        <v/>
      </c>
    </row>
    <row r="249">
      <c r="A249" s="6" t="inlineStr">
        <is>
          <t>_OBRADOR_ESCANDALLOS</t>
        </is>
      </c>
      <c r="B249" s="6" t="inlineStr">
        <is>
          <t>CAKE CHOCOLATE Y AVELLANAS</t>
        </is>
      </c>
      <c r="C249" s="6" t="inlineStr">
        <is>
          <t>NAMELAKA DE AVELLANAS</t>
        </is>
      </c>
      <c r="D249" s="9" t="n">
        <v>0.2</v>
      </c>
      <c r="E249" s="6" t="inlineStr">
        <is>
          <t>KG</t>
        </is>
      </c>
      <c r="F249" s="6">
        <f>IFERROR(SUMPRODUCT(('Ventas del mes'!$A$4:$A$72=A249)*('Ventas del mes'!$B$4:$B$72=B249)*'Ventas del mes'!$C$4:$C$72),0)</f>
        <v/>
      </c>
      <c r="G249" s="9">
        <f>D249*F249</f>
        <v/>
      </c>
    </row>
    <row r="250">
      <c r="A250" s="6" t="inlineStr">
        <is>
          <t>_OBRADOR_ESCANDALLOS</t>
        </is>
      </c>
      <c r="B250" s="6" t="inlineStr">
        <is>
          <t>CAKE CHOCOLATE Y AVELLANAS</t>
        </is>
      </c>
      <c r="C250" s="6" t="inlineStr">
        <is>
          <t>AVELLANAS TROCEADAS</t>
        </is>
      </c>
      <c r="D250" s="9" t="n">
        <v>0.015</v>
      </c>
      <c r="E250" s="6" t="inlineStr">
        <is>
          <t>KG</t>
        </is>
      </c>
      <c r="F250" s="6">
        <f>IFERROR(SUMPRODUCT(('Ventas del mes'!$A$4:$A$72=A250)*('Ventas del mes'!$B$4:$B$72=B250)*'Ventas del mes'!$C$4:$C$72),0)</f>
        <v/>
      </c>
      <c r="G250" s="9">
        <f>D250*F250</f>
        <v/>
      </c>
    </row>
    <row r="251">
      <c r="A251" s="6" t="inlineStr">
        <is>
          <t>_OBRADOR_ESCANDALLOS</t>
        </is>
      </c>
      <c r="B251" s="6" t="inlineStr">
        <is>
          <t>BRIOCHE TRENZADO PISTACHO</t>
        </is>
      </c>
      <c r="C251" s="6" t="inlineStr">
        <is>
          <t>Brioche</t>
        </is>
      </c>
      <c r="D251" s="9" t="n">
        <v>0.12</v>
      </c>
      <c r="E251" s="6" t="inlineStr">
        <is>
          <t>KG</t>
        </is>
      </c>
      <c r="F251" s="6">
        <f>IFERROR(SUMPRODUCT(('Ventas del mes'!$A$4:$A$72=A251)*('Ventas del mes'!$B$4:$B$72=B251)*'Ventas del mes'!$C$4:$C$72),0)</f>
        <v/>
      </c>
      <c r="G251" s="9">
        <f>D251*F251</f>
        <v/>
      </c>
    </row>
    <row r="252">
      <c r="A252" s="6" t="inlineStr">
        <is>
          <t>_OBRADOR_ESCANDALLOS</t>
        </is>
      </c>
      <c r="B252" s="6" t="inlineStr">
        <is>
          <t>BRIOCHE TRENZADO PISTACHO</t>
        </is>
      </c>
      <c r="C252" s="6" t="inlineStr">
        <is>
          <t>PASTA DE PISTACHO</t>
        </is>
      </c>
      <c r="D252" s="9" t="n">
        <v>0.02</v>
      </c>
      <c r="E252" s="6" t="inlineStr">
        <is>
          <t>KG</t>
        </is>
      </c>
      <c r="F252" s="6">
        <f>IFERROR(SUMPRODUCT(('Ventas del mes'!$A$4:$A$72=A252)*('Ventas del mes'!$B$4:$B$72=B252)*'Ventas del mes'!$C$4:$C$72),0)</f>
        <v/>
      </c>
      <c r="G252" s="9">
        <f>D252*F252</f>
        <v/>
      </c>
    </row>
    <row r="253">
      <c r="A253" s="6" t="inlineStr">
        <is>
          <t>_OBRADOR_ESCANDALLOS</t>
        </is>
      </c>
      <c r="B253" s="6" t="inlineStr">
        <is>
          <t>BRIOCHE TRENZADO PISTACHO</t>
        </is>
      </c>
      <c r="C253" s="6" t="inlineStr">
        <is>
          <t>BRILLO DE MIEL</t>
        </is>
      </c>
      <c r="D253" s="9" t="n">
        <v>0.01</v>
      </c>
      <c r="E253" s="6" t="inlineStr">
        <is>
          <t>KG</t>
        </is>
      </c>
      <c r="F253" s="6">
        <f>IFERROR(SUMPRODUCT(('Ventas del mes'!$A$4:$A$72=A253)*('Ventas del mes'!$B$4:$B$72=B253)*'Ventas del mes'!$C$4:$C$72),0)</f>
        <v/>
      </c>
      <c r="G253" s="9">
        <f>D253*F253</f>
        <v/>
      </c>
    </row>
    <row r="254">
      <c r="A254" s="6" t="inlineStr">
        <is>
          <t>_OBRADOR_ESCANDALLOS</t>
        </is>
      </c>
      <c r="B254" s="6" t="inlineStr">
        <is>
          <t>BRIOCHE TRENZADO PISTACHO</t>
        </is>
      </c>
      <c r="C254" s="6" t="inlineStr">
        <is>
          <t>PINTURA DE YEMA</t>
        </is>
      </c>
      <c r="D254" s="9" t="n">
        <v>0.01</v>
      </c>
      <c r="E254" s="6" t="inlineStr">
        <is>
          <t>KG</t>
        </is>
      </c>
      <c r="F254" s="6">
        <f>IFERROR(SUMPRODUCT(('Ventas del mes'!$A$4:$A$72=A254)*('Ventas del mes'!$B$4:$B$72=B254)*'Ventas del mes'!$C$4:$C$72),0)</f>
        <v/>
      </c>
      <c r="G254" s="9">
        <f>D254*F254</f>
        <v/>
      </c>
    </row>
    <row r="255">
      <c r="A255" s="6" t="inlineStr">
        <is>
          <t>_OBRADOR_ESCANDALLOS</t>
        </is>
      </c>
      <c r="B255" s="6" t="inlineStr">
        <is>
          <t>BRIOCHE TRENZADO PISTACHO</t>
        </is>
      </c>
      <c r="C255" s="6" t="inlineStr">
        <is>
          <t>PISTACHOS TROCEADOS</t>
        </is>
      </c>
      <c r="D255" s="9" t="n">
        <v>0.005</v>
      </c>
      <c r="E255" s="6" t="inlineStr">
        <is>
          <t>KG</t>
        </is>
      </c>
      <c r="F255" s="6">
        <f>IFERROR(SUMPRODUCT(('Ventas del mes'!$A$4:$A$72=A255)*('Ventas del mes'!$B$4:$B$72=B255)*'Ventas del mes'!$C$4:$C$72),0)</f>
        <v/>
      </c>
      <c r="G255" s="9">
        <f>D255*F255</f>
        <v/>
      </c>
    </row>
    <row r="256">
      <c r="A256" s="6" t="inlineStr">
        <is>
          <t>_OBRADOR_ESCANDALLOS</t>
        </is>
      </c>
      <c r="B256" s="6" t="inlineStr">
        <is>
          <t>BRIOCHE TRENZADO CANELA Y LIMÓN</t>
        </is>
      </c>
      <c r="C256" s="6" t="inlineStr">
        <is>
          <t>Brioche</t>
        </is>
      </c>
      <c r="D256" s="9" t="n">
        <v>0.12</v>
      </c>
      <c r="E256" s="6" t="inlineStr">
        <is>
          <t>KG</t>
        </is>
      </c>
      <c r="F256" s="6">
        <f>IFERROR(SUMPRODUCT(('Ventas del mes'!$A$4:$A$72=A256)*('Ventas del mes'!$B$4:$B$72=B256)*'Ventas del mes'!$C$4:$C$72),0)</f>
        <v/>
      </c>
      <c r="G256" s="9">
        <f>D256*F256</f>
        <v/>
      </c>
    </row>
    <row r="257">
      <c r="A257" s="6" t="inlineStr">
        <is>
          <t>_OBRADOR_ESCANDALLOS</t>
        </is>
      </c>
      <c r="B257" s="6" t="inlineStr">
        <is>
          <t>BRIOCHE TRENZADO CANELA Y LIMÓN</t>
        </is>
      </c>
      <c r="C257" s="6" t="inlineStr">
        <is>
          <t>PASTA DE CANELA Y LIMÓN</t>
        </is>
      </c>
      <c r="D257" s="9" t="n">
        <v>0.02</v>
      </c>
      <c r="E257" s="6" t="inlineStr">
        <is>
          <t>KG</t>
        </is>
      </c>
      <c r="F257" s="6">
        <f>IFERROR(SUMPRODUCT(('Ventas del mes'!$A$4:$A$72=A257)*('Ventas del mes'!$B$4:$B$72=B257)*'Ventas del mes'!$C$4:$C$72),0)</f>
        <v/>
      </c>
      <c r="G257" s="9">
        <f>D257*F257</f>
        <v/>
      </c>
    </row>
    <row r="258">
      <c r="A258" s="6" t="inlineStr">
        <is>
          <t>_OBRADOR_ESCANDALLOS</t>
        </is>
      </c>
      <c r="B258" s="6" t="inlineStr">
        <is>
          <t>BRIOCHE TRENZADO CANELA Y LIMÓN</t>
        </is>
      </c>
      <c r="C258" s="6" t="inlineStr">
        <is>
          <t>BRILLO DE LIMÓN</t>
        </is>
      </c>
      <c r="D258" s="9" t="n">
        <v>0.01</v>
      </c>
      <c r="E258" s="6" t="inlineStr">
        <is>
          <t>KG</t>
        </is>
      </c>
      <c r="F258" s="6">
        <f>IFERROR(SUMPRODUCT(('Ventas del mes'!$A$4:$A$72=A258)*('Ventas del mes'!$B$4:$B$72=B258)*'Ventas del mes'!$C$4:$C$72),0)</f>
        <v/>
      </c>
      <c r="G258" s="9">
        <f>D258*F258</f>
        <v/>
      </c>
    </row>
    <row r="259">
      <c r="A259" s="6" t="inlineStr">
        <is>
          <t>_OBRADOR_ESCANDALLOS</t>
        </is>
      </c>
      <c r="B259" s="6" t="inlineStr">
        <is>
          <t>BRIOCHE TRENZADO CANELA Y LIMÓN</t>
        </is>
      </c>
      <c r="C259" s="6" t="inlineStr">
        <is>
          <t>PINTURA DE YEMA</t>
        </is>
      </c>
      <c r="D259" s="9" t="n">
        <v>0.01</v>
      </c>
      <c r="E259" s="6" t="inlineStr">
        <is>
          <t>KG</t>
        </is>
      </c>
      <c r="F259" s="6">
        <f>IFERROR(SUMPRODUCT(('Ventas del mes'!$A$4:$A$72=A259)*('Ventas del mes'!$B$4:$B$72=B259)*'Ventas del mes'!$C$4:$C$72),0)</f>
        <v/>
      </c>
      <c r="G259" s="9">
        <f>D259*F259</f>
        <v/>
      </c>
    </row>
    <row r="260">
      <c r="A260" s="6" t="inlineStr">
        <is>
          <t>_OBRADOR_ESCANDALLOS</t>
        </is>
      </c>
      <c r="B260" s="6" t="inlineStr">
        <is>
          <t>BRIOCHE TRENZADO CHOCOLATE Y AVELLANAS</t>
        </is>
      </c>
      <c r="C260" s="6" t="inlineStr">
        <is>
          <t>Brioche</t>
        </is>
      </c>
      <c r="D260" s="9" t="n">
        <v>0.12</v>
      </c>
      <c r="E260" s="6" t="inlineStr">
        <is>
          <t>KG</t>
        </is>
      </c>
      <c r="F260" s="6">
        <f>IFERROR(SUMPRODUCT(('Ventas del mes'!$A$4:$A$72=A260)*('Ventas del mes'!$B$4:$B$72=B260)*'Ventas del mes'!$C$4:$C$72),0)</f>
        <v/>
      </c>
      <c r="G260" s="9">
        <f>D260*F260</f>
        <v/>
      </c>
    </row>
    <row r="261">
      <c r="A261" s="6" t="inlineStr">
        <is>
          <t>_OBRADOR_ESCANDALLOS</t>
        </is>
      </c>
      <c r="B261" s="6" t="inlineStr">
        <is>
          <t>BRIOCHE TRENZADO CHOCOLATE Y AVELLANAS</t>
        </is>
      </c>
      <c r="C261" s="6" t="inlineStr">
        <is>
          <t>PASTA DE CHOCOLATE Y AVELLANA</t>
        </is>
      </c>
      <c r="D261" s="9" t="n">
        <v>0.02</v>
      </c>
      <c r="E261" s="6" t="inlineStr">
        <is>
          <t>KG</t>
        </is>
      </c>
      <c r="F261" s="6">
        <f>IFERROR(SUMPRODUCT(('Ventas del mes'!$A$4:$A$72=A261)*('Ventas del mes'!$B$4:$B$72=B261)*'Ventas del mes'!$C$4:$C$72),0)</f>
        <v/>
      </c>
      <c r="G261" s="9">
        <f>D261*F261</f>
        <v/>
      </c>
    </row>
    <row r="262">
      <c r="A262" s="6" t="inlineStr">
        <is>
          <t>_OBRADOR_ESCANDALLOS</t>
        </is>
      </c>
      <c r="B262" s="6" t="inlineStr">
        <is>
          <t>BRIOCHE TRENZADO CHOCOLATE Y AVELLANAS</t>
        </is>
      </c>
      <c r="C262" s="6" t="inlineStr">
        <is>
          <t>BRILLO</t>
        </is>
      </c>
      <c r="D262" s="9" t="n">
        <v>0.01</v>
      </c>
      <c r="E262" s="6" t="inlineStr">
        <is>
          <t>KG</t>
        </is>
      </c>
      <c r="F262" s="6">
        <f>IFERROR(SUMPRODUCT(('Ventas del mes'!$A$4:$A$72=A262)*('Ventas del mes'!$B$4:$B$72=B262)*'Ventas del mes'!$C$4:$C$72),0)</f>
        <v/>
      </c>
      <c r="G262" s="9">
        <f>D262*F262</f>
        <v/>
      </c>
    </row>
    <row r="263">
      <c r="A263" s="6" t="inlineStr">
        <is>
          <t>_OBRADOR_ESCANDALLOS</t>
        </is>
      </c>
      <c r="B263" s="6" t="inlineStr">
        <is>
          <t>BRIOCHE TRENZADO CHOCOLATE Y AVELLANAS</t>
        </is>
      </c>
      <c r="C263" s="6" t="inlineStr">
        <is>
          <t>PINTURA DE YEMA</t>
        </is>
      </c>
      <c r="D263" s="9" t="n">
        <v>0.01</v>
      </c>
      <c r="E263" s="6" t="inlineStr">
        <is>
          <t>KG</t>
        </is>
      </c>
      <c r="F263" s="6">
        <f>IFERROR(SUMPRODUCT(('Ventas del mes'!$A$4:$A$72=A263)*('Ventas del mes'!$B$4:$B$72=B263)*'Ventas del mes'!$C$4:$C$72),0)</f>
        <v/>
      </c>
      <c r="G263" s="9">
        <f>D263*F263</f>
        <v/>
      </c>
    </row>
    <row r="264">
      <c r="A264" s="6" t="inlineStr">
        <is>
          <t>_OBRADOR_ESCANDALLOS</t>
        </is>
      </c>
      <c r="B264" s="6" t="inlineStr">
        <is>
          <t>BRIOCHE TRENZADO CHOCOLATE Y AVELLANAS</t>
        </is>
      </c>
      <c r="C264" s="6" t="inlineStr">
        <is>
          <t>AVELLANAS TROCEADOS</t>
        </is>
      </c>
      <c r="D264" s="9" t="n">
        <v>0.005</v>
      </c>
      <c r="E264" s="6" t="inlineStr">
        <is>
          <t>KG</t>
        </is>
      </c>
      <c r="F264" s="6">
        <f>IFERROR(SUMPRODUCT(('Ventas del mes'!$A$4:$A$72=A264)*('Ventas del mes'!$B$4:$B$72=B264)*'Ventas del mes'!$C$4:$C$72),0)</f>
        <v/>
      </c>
      <c r="G264" s="9">
        <f>D264*F264</f>
        <v/>
      </c>
    </row>
    <row r="265">
      <c r="A265" s="6" t="inlineStr">
        <is>
          <t>_OBRADOR_ESCANDALLOS</t>
        </is>
      </c>
      <c r="B265" s="6" t="inlineStr">
        <is>
          <t>TARTA DE QUESO DE CABRA</t>
        </is>
      </c>
      <c r="C265" s="6" t="inlineStr">
        <is>
          <t>SABLÈE</t>
        </is>
      </c>
      <c r="D265" s="9" t="n">
        <v>0.2</v>
      </c>
      <c r="E265" s="6" t="inlineStr">
        <is>
          <t>KG</t>
        </is>
      </c>
      <c r="F265" s="6">
        <f>IFERROR(SUMPRODUCT(('Ventas del mes'!$A$4:$A$72=A265)*('Ventas del mes'!$B$4:$B$72=B265)*'Ventas del mes'!$C$4:$C$72),0)</f>
        <v/>
      </c>
      <c r="G265" s="9">
        <f>D265*F265</f>
        <v/>
      </c>
    </row>
    <row r="266">
      <c r="A266" s="6" t="inlineStr">
        <is>
          <t>_OBRADOR_ESCANDALLOS</t>
        </is>
      </c>
      <c r="B266" s="6" t="inlineStr">
        <is>
          <t>TARTA DE QUESO DE CABRA</t>
        </is>
      </c>
      <c r="C266" s="6" t="inlineStr">
        <is>
          <t>Mantequilla</t>
        </is>
      </c>
      <c r="D266" s="9" t="n">
        <v>0.04</v>
      </c>
      <c r="E266" s="6" t="inlineStr">
        <is>
          <t>KG</t>
        </is>
      </c>
      <c r="F266" s="6">
        <f>IFERROR(SUMPRODUCT(('Ventas del mes'!$A$4:$A$72=A266)*('Ventas del mes'!$B$4:$B$72=B266)*'Ventas del mes'!$C$4:$C$72),0)</f>
        <v/>
      </c>
      <c r="G266" s="9">
        <f>D266*F266</f>
        <v/>
      </c>
    </row>
    <row r="267">
      <c r="A267" s="6" t="inlineStr">
        <is>
          <t>_OBRADOR_ESCANDALLOS</t>
        </is>
      </c>
      <c r="B267" s="6" t="inlineStr">
        <is>
          <t>TARTA DE QUESO DE CABRA</t>
        </is>
      </c>
      <c r="C267" s="6" t="inlineStr">
        <is>
          <t>QUESO IDIAZABAL AHUMADO</t>
        </is>
      </c>
      <c r="D267" s="9" t="n">
        <v>0.025</v>
      </c>
      <c r="E267" s="6" t="inlineStr">
        <is>
          <t>KG</t>
        </is>
      </c>
      <c r="F267" s="6">
        <f>IFERROR(SUMPRODUCT(('Ventas del mes'!$A$4:$A$72=A267)*('Ventas del mes'!$B$4:$B$72=B267)*'Ventas del mes'!$C$4:$C$72),0)</f>
        <v/>
      </c>
      <c r="G267" s="9">
        <f>D267*F267</f>
        <v/>
      </c>
    </row>
    <row r="268">
      <c r="A268" s="6" t="inlineStr">
        <is>
          <t>_OBRADOR_ESCANDALLOS</t>
        </is>
      </c>
      <c r="B268" s="6" t="inlineStr">
        <is>
          <t>TARTA DE QUESO DE CABRA</t>
        </is>
      </c>
      <c r="C268" s="6" t="inlineStr">
        <is>
          <t>NATA</t>
        </is>
      </c>
      <c r="D268" s="9" t="n">
        <v>0.5</v>
      </c>
      <c r="E268" s="6" t="inlineStr">
        <is>
          <t>KG</t>
        </is>
      </c>
      <c r="F268" s="6">
        <f>IFERROR(SUMPRODUCT(('Ventas del mes'!$A$4:$A$72=A268)*('Ventas del mes'!$B$4:$B$72=B268)*'Ventas del mes'!$C$4:$C$72),0)</f>
        <v/>
      </c>
      <c r="G268" s="9">
        <f>D268*F268</f>
        <v/>
      </c>
    </row>
    <row r="269">
      <c r="A269" s="6" t="inlineStr">
        <is>
          <t>_OBRADOR_ESCANDALLOS</t>
        </is>
      </c>
      <c r="B269" s="6" t="inlineStr">
        <is>
          <t>TARTA DE QUESO DE CABRA</t>
        </is>
      </c>
      <c r="C269" s="6" t="inlineStr">
        <is>
          <t>AZÙCAR BLANCO</t>
        </is>
      </c>
      <c r="D269" s="9" t="n">
        <v>0.14</v>
      </c>
      <c r="E269" s="6" t="inlineStr">
        <is>
          <t>KG</t>
        </is>
      </c>
      <c r="F269" s="6">
        <f>IFERROR(SUMPRODUCT(('Ventas del mes'!$A$4:$A$72=A269)*('Ventas del mes'!$B$4:$B$72=B269)*'Ventas del mes'!$C$4:$C$72),0)</f>
        <v/>
      </c>
      <c r="G269" s="9">
        <f>D269*F269</f>
        <v/>
      </c>
    </row>
    <row r="270">
      <c r="A270" s="6" t="inlineStr">
        <is>
          <t>_OBRADOR_ESCANDALLOS</t>
        </is>
      </c>
      <c r="B270" s="6" t="inlineStr">
        <is>
          <t>TARTA DE QUESO DE CABRA</t>
        </is>
      </c>
      <c r="C270" s="6" t="inlineStr">
        <is>
          <t>QUESO DE CABRA</t>
        </is>
      </c>
      <c r="D270" s="9" t="n">
        <v>0.025</v>
      </c>
      <c r="E270" s="6" t="inlineStr">
        <is>
          <t>KG</t>
        </is>
      </c>
      <c r="F270" s="6">
        <f>IFERROR(SUMPRODUCT(('Ventas del mes'!$A$4:$A$72=A270)*('Ventas del mes'!$B$4:$B$72=B270)*'Ventas del mes'!$C$4:$C$72),0)</f>
        <v/>
      </c>
      <c r="G270" s="9">
        <f>D270*F270</f>
        <v/>
      </c>
    </row>
    <row r="271">
      <c r="A271" s="6" t="inlineStr">
        <is>
          <t>_OBRADOR_ESCANDALLOS</t>
        </is>
      </c>
      <c r="B271" s="6" t="inlineStr">
        <is>
          <t>TARTA DE QUESO DE CABRA</t>
        </is>
      </c>
      <c r="C271" s="6" t="inlineStr">
        <is>
          <t>YEMA DE HUEVO</t>
        </is>
      </c>
      <c r="D271" s="9" t="n">
        <v>0.035</v>
      </c>
      <c r="E271" s="6" t="inlineStr">
        <is>
          <t>KG</t>
        </is>
      </c>
      <c r="F271" s="6">
        <f>IFERROR(SUMPRODUCT(('Ventas del mes'!$A$4:$A$72=A271)*('Ventas del mes'!$B$4:$B$72=B271)*'Ventas del mes'!$C$4:$C$72),0)</f>
        <v/>
      </c>
      <c r="G271" s="9">
        <f>D271*F271</f>
        <v/>
      </c>
    </row>
    <row r="272">
      <c r="A272" s="6" t="inlineStr">
        <is>
          <t>_OBRADOR_ESCANDALLOS</t>
        </is>
      </c>
      <c r="B272" s="6" t="inlineStr">
        <is>
          <t>TARTA DE QUESO DE CABRA</t>
        </is>
      </c>
      <c r="C272" s="6" t="inlineStr">
        <is>
          <t>QUESO CREMA</t>
        </is>
      </c>
      <c r="D272" s="9" t="n">
        <v>0.39</v>
      </c>
      <c r="E272" s="6" t="inlineStr">
        <is>
          <t>KG</t>
        </is>
      </c>
      <c r="F272" s="6">
        <f>IFERROR(SUMPRODUCT(('Ventas del mes'!$A$4:$A$72=A272)*('Ventas del mes'!$B$4:$B$72=B272)*'Ventas del mes'!$C$4:$C$72),0)</f>
        <v/>
      </c>
      <c r="G272" s="9">
        <f>D272*F272</f>
        <v/>
      </c>
    </row>
    <row r="273">
      <c r="A273" s="6" t="inlineStr">
        <is>
          <t>_OBRADOR_ESCANDALLOS</t>
        </is>
      </c>
      <c r="B273" s="6" t="inlineStr">
        <is>
          <t>TARTA DE QUESO DE CABRA</t>
        </is>
      </c>
      <c r="C273" s="6" t="inlineStr">
        <is>
          <t>HUEVO</t>
        </is>
      </c>
      <c r="D273" s="9" t="n">
        <v>0.2</v>
      </c>
      <c r="E273" s="6" t="inlineStr">
        <is>
          <t>KG</t>
        </is>
      </c>
      <c r="F273" s="6">
        <f>IFERROR(SUMPRODUCT(('Ventas del mes'!$A$4:$A$72=A273)*('Ventas del mes'!$B$4:$B$72=B273)*'Ventas del mes'!$C$4:$C$72),0)</f>
        <v/>
      </c>
      <c r="G273" s="9">
        <f>D273*F273</f>
        <v/>
      </c>
    </row>
    <row r="274">
      <c r="A274" s="6" t="inlineStr">
        <is>
          <t>_OBRADOR_ESCANDALLOS</t>
        </is>
      </c>
      <c r="B274" s="6" t="inlineStr">
        <is>
          <t>TARTA DE QUESO LADY MADRID</t>
        </is>
      </c>
      <c r="C274" s="6" t="inlineStr">
        <is>
          <t>SABLÈE</t>
        </is>
      </c>
      <c r="D274" s="9" t="n">
        <v>0.2</v>
      </c>
      <c r="E274" s="6" t="inlineStr">
        <is>
          <t>KG</t>
        </is>
      </c>
      <c r="F274" s="6">
        <f>IFERROR(SUMPRODUCT(('Ventas del mes'!$A$4:$A$72=A274)*('Ventas del mes'!$B$4:$B$72=B274)*'Ventas del mes'!$C$4:$C$72),0)</f>
        <v/>
      </c>
      <c r="G274" s="9">
        <f>D274*F274</f>
        <v/>
      </c>
    </row>
    <row r="275">
      <c r="A275" s="6" t="inlineStr">
        <is>
          <t>_OBRADOR_ESCANDALLOS</t>
        </is>
      </c>
      <c r="B275" s="6" t="inlineStr">
        <is>
          <t>TARTA DE QUESO LADY MADRID</t>
        </is>
      </c>
      <c r="C275" s="6" t="inlineStr">
        <is>
          <t>Mantequilla</t>
        </is>
      </c>
      <c r="D275" s="9" t="n">
        <v>0.055</v>
      </c>
      <c r="E275" s="6" t="inlineStr">
        <is>
          <t>KG</t>
        </is>
      </c>
      <c r="F275" s="6">
        <f>IFERROR(SUMPRODUCT(('Ventas del mes'!$A$4:$A$72=A275)*('Ventas del mes'!$B$4:$B$72=B275)*'Ventas del mes'!$C$4:$C$72),0)</f>
        <v/>
      </c>
      <c r="G275" s="9">
        <f>D275*F275</f>
        <v/>
      </c>
    </row>
    <row r="276">
      <c r="A276" s="6" t="inlineStr">
        <is>
          <t>_OBRADOR_ESCANDALLOS</t>
        </is>
      </c>
      <c r="B276" s="6" t="inlineStr">
        <is>
          <t>TARTA DE QUESO LADY MADRID</t>
        </is>
      </c>
      <c r="C276" s="6" t="inlineStr">
        <is>
          <t>QUESO CREMA</t>
        </is>
      </c>
      <c r="D276" s="9" t="n">
        <v>0.8</v>
      </c>
      <c r="E276" s="6" t="inlineStr">
        <is>
          <t>KG</t>
        </is>
      </c>
      <c r="F276" s="6">
        <f>IFERROR(SUMPRODUCT(('Ventas del mes'!$A$4:$A$72=A276)*('Ventas del mes'!$B$4:$B$72=B276)*'Ventas del mes'!$C$4:$C$72),0)</f>
        <v/>
      </c>
      <c r="G276" s="9">
        <f>D276*F276</f>
        <v/>
      </c>
    </row>
    <row r="277">
      <c r="A277" s="6" t="inlineStr">
        <is>
          <t>_OBRADOR_ESCANDALLOS</t>
        </is>
      </c>
      <c r="B277" s="6" t="inlineStr">
        <is>
          <t>TARTA DE QUESO LADY MADRID</t>
        </is>
      </c>
      <c r="C277" s="6" t="inlineStr">
        <is>
          <t>AZÙCAR</t>
        </is>
      </c>
      <c r="D277" s="9" t="n">
        <v>0.2</v>
      </c>
      <c r="E277" s="6" t="inlineStr">
        <is>
          <t>KG</t>
        </is>
      </c>
      <c r="F277" s="6">
        <f>IFERROR(SUMPRODUCT(('Ventas del mes'!$A$4:$A$72=A277)*('Ventas del mes'!$B$4:$B$72=B277)*'Ventas del mes'!$C$4:$C$72),0)</f>
        <v/>
      </c>
      <c r="G277" s="9">
        <f>D277*F277</f>
        <v/>
      </c>
    </row>
    <row r="278">
      <c r="A278" s="6" t="inlineStr">
        <is>
          <t>_OBRADOR_ESCANDALLOS</t>
        </is>
      </c>
      <c r="B278" s="6" t="inlineStr">
        <is>
          <t>TARTA DE QUESO LADY MADRID</t>
        </is>
      </c>
      <c r="C278" s="6" t="inlineStr">
        <is>
          <t>HUEVOS</t>
        </is>
      </c>
      <c r="D278" s="9" t="n">
        <v>0.2</v>
      </c>
      <c r="E278" s="6" t="inlineStr">
        <is>
          <t>KG</t>
        </is>
      </c>
      <c r="F278" s="6">
        <f>IFERROR(SUMPRODUCT(('Ventas del mes'!$A$4:$A$72=A278)*('Ventas del mes'!$B$4:$B$72=B278)*'Ventas del mes'!$C$4:$C$72),0)</f>
        <v/>
      </c>
      <c r="G278" s="9">
        <f>D278*F278</f>
        <v/>
      </c>
    </row>
    <row r="279">
      <c r="A279" s="6" t="inlineStr">
        <is>
          <t>_OBRADOR_ESCANDALLOS</t>
        </is>
      </c>
      <c r="B279" s="6" t="inlineStr">
        <is>
          <t>TARTA DE QUESO LADY MADRID</t>
        </is>
      </c>
      <c r="C279" s="6" t="inlineStr">
        <is>
          <t>NATA</t>
        </is>
      </c>
      <c r="D279" s="9" t="n">
        <v>0.35</v>
      </c>
      <c r="E279" s="6" t="inlineStr">
        <is>
          <t>KG</t>
        </is>
      </c>
      <c r="F279" s="6">
        <f>IFERROR(SUMPRODUCT(('Ventas del mes'!$A$4:$A$72=A279)*('Ventas del mes'!$B$4:$B$72=B279)*'Ventas del mes'!$C$4:$C$72),0)</f>
        <v/>
      </c>
      <c r="G279" s="9">
        <f>D279*F279</f>
        <v/>
      </c>
    </row>
    <row r="280">
      <c r="A280" s="6" t="inlineStr">
        <is>
          <t>_OBRADOR_ESCANDALLOS</t>
        </is>
      </c>
      <c r="B280" s="6" t="inlineStr">
        <is>
          <t>TARTA DE QUESO LADY MADRID</t>
        </is>
      </c>
      <c r="C280" s="6" t="inlineStr">
        <is>
          <t>HARINA FLOJA</t>
        </is>
      </c>
      <c r="D280" s="9" t="n">
        <v>0.025</v>
      </c>
      <c r="E280" s="6" t="inlineStr">
        <is>
          <t>KG</t>
        </is>
      </c>
      <c r="F280" s="6">
        <f>IFERROR(SUMPRODUCT(('Ventas del mes'!$A$4:$A$72=A280)*('Ventas del mes'!$B$4:$B$72=B280)*'Ventas del mes'!$C$4:$C$72),0)</f>
        <v/>
      </c>
      <c r="G280" s="9">
        <f>D280*F280</f>
        <v/>
      </c>
    </row>
    <row r="281">
      <c r="A281" s="6" t="inlineStr">
        <is>
          <t>_OBRADOR_ESCANDALLOS</t>
        </is>
      </c>
      <c r="B281" s="6" t="inlineStr">
        <is>
          <t>TARTA DE MELOCOTON Y TOMILLO</t>
        </is>
      </c>
      <c r="C281" s="6" t="inlineStr">
        <is>
          <t>SABLÈE</t>
        </is>
      </c>
      <c r="D281" s="9" t="n">
        <v>0.5</v>
      </c>
      <c r="E281" s="6" t="inlineStr">
        <is>
          <t>KG</t>
        </is>
      </c>
      <c r="F281" s="6">
        <f>IFERROR(SUMPRODUCT(('Ventas del mes'!$A$4:$A$72=A281)*('Ventas del mes'!$B$4:$B$72=B281)*'Ventas del mes'!$C$4:$C$72),0)</f>
        <v/>
      </c>
      <c r="G281" s="9">
        <f>D281*F281</f>
        <v/>
      </c>
    </row>
    <row r="282">
      <c r="A282" s="6" t="inlineStr">
        <is>
          <t>_OBRADOR_ESCANDALLOS</t>
        </is>
      </c>
      <c r="B282" s="6" t="inlineStr">
        <is>
          <t>TARTA DE MELOCOTON Y TOMILLO</t>
        </is>
      </c>
      <c r="C282" s="6" t="inlineStr">
        <is>
          <t>CREMA DE ALMENDRAS</t>
        </is>
      </c>
      <c r="D282" s="9" t="n">
        <v>0.35</v>
      </c>
      <c r="E282" s="6" t="inlineStr">
        <is>
          <t>KG</t>
        </is>
      </c>
      <c r="F282" s="6">
        <f>IFERROR(SUMPRODUCT(('Ventas del mes'!$A$4:$A$72=A282)*('Ventas del mes'!$B$4:$B$72=B282)*'Ventas del mes'!$C$4:$C$72),0)</f>
        <v/>
      </c>
      <c r="G282" s="9">
        <f>D282*F282</f>
        <v/>
      </c>
    </row>
    <row r="283">
      <c r="A283" s="6" t="inlineStr">
        <is>
          <t>_OBRADOR_ESCANDALLOS</t>
        </is>
      </c>
      <c r="B283" s="6" t="inlineStr">
        <is>
          <t>TARTA DE MELOCOTON Y TOMILLO</t>
        </is>
      </c>
      <c r="C283" s="6" t="inlineStr">
        <is>
          <t>MIX MELOCOTONES</t>
        </is>
      </c>
      <c r="D283" s="9" t="n">
        <v>0.75</v>
      </c>
      <c r="E283" s="6" t="inlineStr">
        <is>
          <t>KG</t>
        </is>
      </c>
      <c r="F283" s="6">
        <f>IFERROR(SUMPRODUCT(('Ventas del mes'!$A$4:$A$72=A283)*('Ventas del mes'!$B$4:$B$72=B283)*'Ventas del mes'!$C$4:$C$72),0)</f>
        <v/>
      </c>
      <c r="G283" s="9">
        <f>D283*F283</f>
        <v/>
      </c>
    </row>
    <row r="284">
      <c r="A284" s="6" t="inlineStr">
        <is>
          <t>_OBRADOR_ESCANDALLOS</t>
        </is>
      </c>
      <c r="B284" s="6" t="inlineStr">
        <is>
          <t>TARTA DE MELOCOTON Y TOMILLO</t>
        </is>
      </c>
      <c r="C284" s="6" t="inlineStr">
        <is>
          <t>PINTURA DE YEMA</t>
        </is>
      </c>
      <c r="D284" s="9" t="n">
        <v>0.005</v>
      </c>
      <c r="E284" s="6" t="inlineStr">
        <is>
          <t>KG</t>
        </is>
      </c>
      <c r="F284" s="6">
        <f>IFERROR(SUMPRODUCT(('Ventas del mes'!$A$4:$A$72=A284)*('Ventas del mes'!$B$4:$B$72=B284)*'Ventas del mes'!$C$4:$C$72),0)</f>
        <v/>
      </c>
      <c r="G284" s="9">
        <f>D284*F284</f>
        <v/>
      </c>
    </row>
    <row r="285">
      <c r="A285" s="6" t="inlineStr">
        <is>
          <t>_OBRADOR_ESCANDALLOS</t>
        </is>
      </c>
      <c r="B285" s="6" t="inlineStr">
        <is>
          <t>TARTA DE MELOCOTON Y TOMILLO</t>
        </is>
      </c>
      <c r="C285" s="6" t="inlineStr">
        <is>
          <t>AZÚCAR MORENO</t>
        </is>
      </c>
      <c r="D285" s="9" t="n">
        <v>0.015</v>
      </c>
      <c r="E285" s="6" t="inlineStr">
        <is>
          <t>KG</t>
        </is>
      </c>
      <c r="F285" s="6">
        <f>IFERROR(SUMPRODUCT(('Ventas del mes'!$A$4:$A$72=A285)*('Ventas del mes'!$B$4:$B$72=B285)*'Ventas del mes'!$C$4:$C$72),0)</f>
        <v/>
      </c>
      <c r="G285" s="9">
        <f>D285*F285</f>
        <v/>
      </c>
    </row>
    <row r="286">
      <c r="A286" s="6" t="inlineStr">
        <is>
          <t>_OBRADOR_ESCANDALLOS</t>
        </is>
      </c>
      <c r="B286" s="6" t="inlineStr">
        <is>
          <t>TARTA DE MELOCOTON Y TOMILLO</t>
        </is>
      </c>
      <c r="C286" s="6" t="inlineStr">
        <is>
          <t>BRILLO</t>
        </is>
      </c>
      <c r="D286" s="9" t="n">
        <v>0.015</v>
      </c>
      <c r="E286" s="6" t="inlineStr">
        <is>
          <t>KG</t>
        </is>
      </c>
      <c r="F286" s="6">
        <f>IFERROR(SUMPRODUCT(('Ventas del mes'!$A$4:$A$72=A286)*('Ventas del mes'!$B$4:$B$72=B286)*'Ventas del mes'!$C$4:$C$72),0)</f>
        <v/>
      </c>
      <c r="G286" s="9">
        <f>D286*F286</f>
        <v/>
      </c>
    </row>
    <row r="287">
      <c r="A287" s="6" t="inlineStr">
        <is>
          <t>_OBRADOR_ESCANDALLOS</t>
        </is>
      </c>
      <c r="B287" s="6" t="inlineStr">
        <is>
          <t>TARTA DE MELOCOTON Y TOMILLO</t>
        </is>
      </c>
      <c r="C287" s="6" t="inlineStr">
        <is>
          <t>TOMILLO FRESCO</t>
        </is>
      </c>
      <c r="D287" s="9" t="n">
        <v>0.005</v>
      </c>
      <c r="E287" s="6" t="inlineStr">
        <is>
          <t>KG</t>
        </is>
      </c>
      <c r="F287" s="6">
        <f>IFERROR(SUMPRODUCT(('Ventas del mes'!$A$4:$A$72=A287)*('Ventas del mes'!$B$4:$B$72=B287)*'Ventas del mes'!$C$4:$C$72),0)</f>
        <v/>
      </c>
      <c r="G287" s="9">
        <f>D287*F287</f>
        <v/>
      </c>
    </row>
    <row r="288">
      <c r="A288" s="6" t="inlineStr">
        <is>
          <t>_OBRADOR_ESCANDALLOS</t>
        </is>
      </c>
      <c r="B288" s="6" t="inlineStr">
        <is>
          <t>TARTA DE HIGOS Y MIEL SALADA</t>
        </is>
      </c>
      <c r="C288" s="6" t="inlineStr">
        <is>
          <t>SABLÈE</t>
        </is>
      </c>
      <c r="D288" s="9" t="n">
        <v>0.5</v>
      </c>
      <c r="E288" s="6" t="inlineStr">
        <is>
          <t>KG</t>
        </is>
      </c>
      <c r="F288" s="6">
        <f>IFERROR(SUMPRODUCT(('Ventas del mes'!$A$4:$A$72=A288)*('Ventas del mes'!$B$4:$B$72=B288)*'Ventas del mes'!$C$4:$C$72),0)</f>
        <v/>
      </c>
      <c r="G288" s="9">
        <f>D288*F288</f>
        <v/>
      </c>
    </row>
    <row r="289">
      <c r="A289" s="6" t="inlineStr">
        <is>
          <t>_OBRADOR_ESCANDALLOS</t>
        </is>
      </c>
      <c r="B289" s="6" t="inlineStr">
        <is>
          <t>TARTA DE HIGOS Y MIEL SALADA</t>
        </is>
      </c>
      <c r="C289" s="6" t="inlineStr">
        <is>
          <t>CREMA DE ALMENDRAS</t>
        </is>
      </c>
      <c r="D289" s="9" t="n">
        <v>0.35</v>
      </c>
      <c r="E289" s="6" t="inlineStr">
        <is>
          <t>KG</t>
        </is>
      </c>
      <c r="F289" s="6">
        <f>IFERROR(SUMPRODUCT(('Ventas del mes'!$A$4:$A$72=A289)*('Ventas del mes'!$B$4:$B$72=B289)*'Ventas del mes'!$C$4:$C$72),0)</f>
        <v/>
      </c>
      <c r="G289" s="9">
        <f>D289*F289</f>
        <v/>
      </c>
    </row>
    <row r="290">
      <c r="A290" s="6" t="inlineStr">
        <is>
          <t>_OBRADOR_ESCANDALLOS</t>
        </is>
      </c>
      <c r="B290" s="6" t="inlineStr">
        <is>
          <t>TARTA DE HIGOS Y MIEL SALADA</t>
        </is>
      </c>
      <c r="C290" s="6" t="inlineStr">
        <is>
          <t>HIGOS FRESCOS</t>
        </is>
      </c>
      <c r="D290" s="9" t="n">
        <v>1</v>
      </c>
      <c r="E290" s="6" t="inlineStr">
        <is>
          <t>KG</t>
        </is>
      </c>
      <c r="F290" s="6">
        <f>IFERROR(SUMPRODUCT(('Ventas del mes'!$A$4:$A$72=A290)*('Ventas del mes'!$B$4:$B$72=B290)*'Ventas del mes'!$C$4:$C$72),0)</f>
        <v/>
      </c>
      <c r="G290" s="9">
        <f>D290*F290</f>
        <v/>
      </c>
    </row>
    <row r="291">
      <c r="A291" s="6" t="inlineStr">
        <is>
          <t>_OBRADOR_ESCANDALLOS</t>
        </is>
      </c>
      <c r="B291" s="6" t="inlineStr">
        <is>
          <t>TARTA DE HIGOS Y MIEL SALADA</t>
        </is>
      </c>
      <c r="C291" s="6" t="inlineStr">
        <is>
          <t>PINTURA DE YEMA</t>
        </is>
      </c>
      <c r="D291" s="9" t="n">
        <v>0.005</v>
      </c>
      <c r="E291" s="6" t="inlineStr">
        <is>
          <t>KG</t>
        </is>
      </c>
      <c r="F291" s="6">
        <f>IFERROR(SUMPRODUCT(('Ventas del mes'!$A$4:$A$72=A291)*('Ventas del mes'!$B$4:$B$72=B291)*'Ventas del mes'!$C$4:$C$72),0)</f>
        <v/>
      </c>
      <c r="G291" s="9">
        <f>D291*F291</f>
        <v/>
      </c>
    </row>
    <row r="292">
      <c r="A292" s="6" t="inlineStr">
        <is>
          <t>_OBRADOR_ESCANDALLOS</t>
        </is>
      </c>
      <c r="B292" s="6" t="inlineStr">
        <is>
          <t>TARTA DE HIGOS Y MIEL SALADA</t>
        </is>
      </c>
      <c r="C292" s="6" t="inlineStr">
        <is>
          <t>AZÚCAR MORENO</t>
        </is>
      </c>
      <c r="D292" s="9" t="n">
        <v>0.015</v>
      </c>
      <c r="E292" s="6" t="inlineStr">
        <is>
          <t>KG</t>
        </is>
      </c>
      <c r="F292" s="6">
        <f>IFERROR(SUMPRODUCT(('Ventas del mes'!$A$4:$A$72=A292)*('Ventas del mes'!$B$4:$B$72=B292)*'Ventas del mes'!$C$4:$C$72),0)</f>
        <v/>
      </c>
      <c r="G292" s="9">
        <f>D292*F292</f>
        <v/>
      </c>
    </row>
    <row r="293">
      <c r="A293" s="6" t="inlineStr">
        <is>
          <t>_OBRADOR_ESCANDALLOS</t>
        </is>
      </c>
      <c r="B293" s="6" t="inlineStr">
        <is>
          <t>TARTA DE HIGOS Y MIEL SALADA</t>
        </is>
      </c>
      <c r="C293" s="6" t="inlineStr">
        <is>
          <t>BRILLO DE MIEL</t>
        </is>
      </c>
      <c r="D293" s="9" t="n">
        <v>0.015</v>
      </c>
      <c r="E293" s="6" t="inlineStr">
        <is>
          <t>KG</t>
        </is>
      </c>
      <c r="F293" s="6">
        <f>IFERROR(SUMPRODUCT(('Ventas del mes'!$A$4:$A$72=A293)*('Ventas del mes'!$B$4:$B$72=B293)*'Ventas del mes'!$C$4:$C$72),0)</f>
        <v/>
      </c>
      <c r="G293" s="9">
        <f>D293*F293</f>
        <v/>
      </c>
    </row>
    <row r="294">
      <c r="A294" s="6" t="inlineStr">
        <is>
          <t>_OBRADOR_ESCANDALLOS</t>
        </is>
      </c>
      <c r="B294" s="6" t="inlineStr">
        <is>
          <t>TARTA DE HIGOS Y MIEL SALADA</t>
        </is>
      </c>
      <c r="C294" s="6" t="inlineStr">
        <is>
          <t>QUESO DE CABRA</t>
        </is>
      </c>
      <c r="D294" s="9" t="n">
        <v>0.06</v>
      </c>
      <c r="E294" s="6" t="inlineStr">
        <is>
          <t>KG</t>
        </is>
      </c>
      <c r="F294" s="6">
        <f>IFERROR(SUMPRODUCT(('Ventas del mes'!$A$4:$A$72=A294)*('Ventas del mes'!$B$4:$B$72=B294)*'Ventas del mes'!$C$4:$C$72),0)</f>
        <v/>
      </c>
      <c r="G294" s="9">
        <f>D294*F294</f>
        <v/>
      </c>
    </row>
    <row r="295">
      <c r="A295" s="6" t="inlineStr">
        <is>
          <t>_OBRADOR_ESCANDALLOS</t>
        </is>
      </c>
      <c r="B295" s="6" t="inlineStr">
        <is>
          <t>TARTA DE HIGOS Y MIEL SALADA</t>
        </is>
      </c>
      <c r="C295" s="6" t="inlineStr">
        <is>
          <t>SAL MALDON</t>
        </is>
      </c>
      <c r="D295" s="9" t="n">
        <v>0.01</v>
      </c>
      <c r="E295" s="6" t="inlineStr">
        <is>
          <t>KG</t>
        </is>
      </c>
      <c r="F295" s="6">
        <f>IFERROR(SUMPRODUCT(('Ventas del mes'!$A$4:$A$72=A295)*('Ventas del mes'!$B$4:$B$72=B295)*'Ventas del mes'!$C$4:$C$72),0)</f>
        <v/>
      </c>
      <c r="G295" s="9">
        <f>D295*F295</f>
        <v/>
      </c>
    </row>
    <row r="296">
      <c r="A296" s="6" t="inlineStr">
        <is>
          <t>_OBRADOR_ESCANDALLOS</t>
        </is>
      </c>
      <c r="B296" s="6" t="inlineStr">
        <is>
          <t>TARTA DE HIGOS Y MIEL SALADA</t>
        </is>
      </c>
      <c r="C296" s="6" t="inlineStr">
        <is>
          <t>GRANOLA</t>
        </is>
      </c>
      <c r="D296" s="9" t="n">
        <v>0.04</v>
      </c>
      <c r="E296" s="6" t="inlineStr">
        <is>
          <t>KG</t>
        </is>
      </c>
      <c r="F296" s="6">
        <f>IFERROR(SUMPRODUCT(('Ventas del mes'!$A$4:$A$72=A296)*('Ventas del mes'!$B$4:$B$72=B296)*'Ventas del mes'!$C$4:$C$72),0)</f>
        <v/>
      </c>
      <c r="G296" s="9">
        <f>D296*F296</f>
        <v/>
      </c>
    </row>
    <row r="297">
      <c r="A297" s="6" t="inlineStr">
        <is>
          <t>_OBRADOR_ESCANDALLOS</t>
        </is>
      </c>
      <c r="B297" s="6" t="inlineStr">
        <is>
          <t>TARTA DE CEREZA Y JEREZ</t>
        </is>
      </c>
      <c r="C297" s="6" t="inlineStr">
        <is>
          <t>SABLÈE</t>
        </is>
      </c>
      <c r="D297" s="9" t="n">
        <v>0.5</v>
      </c>
      <c r="E297" s="6" t="inlineStr">
        <is>
          <t>KG</t>
        </is>
      </c>
      <c r="F297" s="6">
        <f>IFERROR(SUMPRODUCT(('Ventas del mes'!$A$4:$A$72=A297)*('Ventas del mes'!$B$4:$B$72=B297)*'Ventas del mes'!$C$4:$C$72),0)</f>
        <v/>
      </c>
      <c r="G297" s="9">
        <f>D297*F297</f>
        <v/>
      </c>
    </row>
    <row r="298">
      <c r="A298" s="6" t="inlineStr">
        <is>
          <t>_OBRADOR_ESCANDALLOS</t>
        </is>
      </c>
      <c r="B298" s="6" t="inlineStr">
        <is>
          <t>TARTA DE CEREZA Y JEREZ</t>
        </is>
      </c>
      <c r="C298" s="6" t="inlineStr">
        <is>
          <t>CREMA DE ALMENDRAS</t>
        </is>
      </c>
      <c r="D298" s="9" t="n">
        <v>0.3</v>
      </c>
      <c r="E298" s="6" t="inlineStr">
        <is>
          <t>KG</t>
        </is>
      </c>
      <c r="F298" s="6">
        <f>IFERROR(SUMPRODUCT(('Ventas del mes'!$A$4:$A$72=A298)*('Ventas del mes'!$B$4:$B$72=B298)*'Ventas del mes'!$C$4:$C$72),0)</f>
        <v/>
      </c>
      <c r="G298" s="9">
        <f>D298*F298</f>
        <v/>
      </c>
    </row>
    <row r="299">
      <c r="A299" s="6" t="inlineStr">
        <is>
          <t>_OBRADOR_ESCANDALLOS</t>
        </is>
      </c>
      <c r="B299" s="6" t="inlineStr">
        <is>
          <t>TARTA DE CEREZA Y JEREZ</t>
        </is>
      </c>
      <c r="C299" s="6" t="inlineStr">
        <is>
          <t>COMPOTA DE CEREZA Y VINAGRE DE JEREZ</t>
        </is>
      </c>
      <c r="D299" s="9" t="n">
        <v>0.8</v>
      </c>
      <c r="E299" s="6" t="inlineStr">
        <is>
          <t>KG</t>
        </is>
      </c>
      <c r="F299" s="6">
        <f>IFERROR(SUMPRODUCT(('Ventas del mes'!$A$4:$A$72=A299)*('Ventas del mes'!$B$4:$B$72=B299)*'Ventas del mes'!$C$4:$C$72),0)</f>
        <v/>
      </c>
      <c r="G299" s="9">
        <f>D299*F299</f>
        <v/>
      </c>
    </row>
    <row r="300">
      <c r="A300" s="6" t="inlineStr">
        <is>
          <t>_OBRADOR_ESCANDALLOS</t>
        </is>
      </c>
      <c r="B300" s="6" t="inlineStr">
        <is>
          <t>TARTA DE CEREZA Y JEREZ</t>
        </is>
      </c>
      <c r="C300" s="6" t="inlineStr">
        <is>
          <t>CRUMBLE</t>
        </is>
      </c>
      <c r="D300" s="9" t="n">
        <v>0.4</v>
      </c>
      <c r="E300" s="6" t="inlineStr">
        <is>
          <t>KG</t>
        </is>
      </c>
      <c r="F300" s="6">
        <f>IFERROR(SUMPRODUCT(('Ventas del mes'!$A$4:$A$72=A300)*('Ventas del mes'!$B$4:$B$72=B300)*'Ventas del mes'!$C$4:$C$72),0)</f>
        <v/>
      </c>
      <c r="G300" s="9">
        <f>D300*F300</f>
        <v/>
      </c>
    </row>
    <row r="301">
      <c r="A301" s="6" t="inlineStr">
        <is>
          <t>_OBRADOR_ESCANDALLOS</t>
        </is>
      </c>
      <c r="B301" s="6" t="inlineStr">
        <is>
          <t>TARTA DE CEREZA Y JEREZ</t>
        </is>
      </c>
      <c r="C301" s="6" t="inlineStr">
        <is>
          <t>AZÚCAR GLASS</t>
        </is>
      </c>
      <c r="D301" s="9" t="n">
        <v>0.01</v>
      </c>
      <c r="E301" s="6" t="inlineStr">
        <is>
          <t>KG</t>
        </is>
      </c>
      <c r="F301" s="6">
        <f>IFERROR(SUMPRODUCT(('Ventas del mes'!$A$4:$A$72=A301)*('Ventas del mes'!$B$4:$B$72=B301)*'Ventas del mes'!$C$4:$C$72),0)</f>
        <v/>
      </c>
      <c r="G301" s="9">
        <f>D301*F301</f>
        <v/>
      </c>
    </row>
    <row r="302">
      <c r="A302" s="6" t="inlineStr">
        <is>
          <t>_OBRADOR_ESCANDALLOS</t>
        </is>
      </c>
      <c r="B302" s="6" t="inlineStr">
        <is>
          <t>TARTA DE FRESA Y MENTA</t>
        </is>
      </c>
      <c r="C302" s="6" t="inlineStr">
        <is>
          <t>SABLÈE</t>
        </is>
      </c>
      <c r="D302" s="9" t="n">
        <v>0.5</v>
      </c>
      <c r="E302" s="6" t="inlineStr">
        <is>
          <t>KG</t>
        </is>
      </c>
      <c r="F302" s="6">
        <f>IFERROR(SUMPRODUCT(('Ventas del mes'!$A$4:$A$72=A302)*('Ventas del mes'!$B$4:$B$72=B302)*'Ventas del mes'!$C$4:$C$72),0)</f>
        <v/>
      </c>
      <c r="G302" s="9">
        <f>D302*F302</f>
        <v/>
      </c>
    </row>
    <row r="303">
      <c r="A303" s="6" t="inlineStr">
        <is>
          <t>_OBRADOR_ESCANDALLOS</t>
        </is>
      </c>
      <c r="B303" s="6" t="inlineStr">
        <is>
          <t>TARTA DE FRESA Y MENTA</t>
        </is>
      </c>
      <c r="C303" s="6" t="inlineStr">
        <is>
          <t>CREMA DE ALMENDRAS</t>
        </is>
      </c>
      <c r="D303" s="9" t="n">
        <v>0.3</v>
      </c>
      <c r="E303" s="6" t="inlineStr">
        <is>
          <t>KG</t>
        </is>
      </c>
      <c r="F303" s="6">
        <f>IFERROR(SUMPRODUCT(('Ventas del mes'!$A$4:$A$72=A303)*('Ventas del mes'!$B$4:$B$72=B303)*'Ventas del mes'!$C$4:$C$72),0)</f>
        <v/>
      </c>
      <c r="G303" s="9">
        <f>D303*F303</f>
        <v/>
      </c>
    </row>
    <row r="304">
      <c r="A304" s="6" t="inlineStr">
        <is>
          <t>_OBRADOR_ESCANDALLOS</t>
        </is>
      </c>
      <c r="B304" s="6" t="inlineStr">
        <is>
          <t>TARTA DE FRESA Y MENTA</t>
        </is>
      </c>
      <c r="C304" s="6" t="inlineStr">
        <is>
          <t>DIPLOMATA DE VAINILLA</t>
        </is>
      </c>
      <c r="D304" s="9" t="n">
        <v>0.32</v>
      </c>
      <c r="E304" s="6" t="inlineStr">
        <is>
          <t>KG</t>
        </is>
      </c>
      <c r="F304" s="6">
        <f>IFERROR(SUMPRODUCT(('Ventas del mes'!$A$4:$A$72=A304)*('Ventas del mes'!$B$4:$B$72=B304)*'Ventas del mes'!$C$4:$C$72),0)</f>
        <v/>
      </c>
      <c r="G304" s="9">
        <f>D304*F304</f>
        <v/>
      </c>
    </row>
    <row r="305">
      <c r="A305" s="6" t="inlineStr">
        <is>
          <t>_OBRADOR_ESCANDALLOS</t>
        </is>
      </c>
      <c r="B305" s="6" t="inlineStr">
        <is>
          <t>TARTA DE FRESA Y MENTA</t>
        </is>
      </c>
      <c r="C305" s="6" t="inlineStr">
        <is>
          <t>FRESAS FRESCAS</t>
        </is>
      </c>
      <c r="D305" s="9" t="n">
        <v>0.38</v>
      </c>
      <c r="E305" s="6" t="inlineStr">
        <is>
          <t>KG</t>
        </is>
      </c>
      <c r="F305" s="6">
        <f>IFERROR(SUMPRODUCT(('Ventas del mes'!$A$4:$A$72=A305)*('Ventas del mes'!$B$4:$B$72=B305)*'Ventas del mes'!$C$4:$C$72),0)</f>
        <v/>
      </c>
      <c r="G305" s="9">
        <f>D305*F305</f>
        <v/>
      </c>
    </row>
    <row r="306">
      <c r="A306" s="6" t="inlineStr">
        <is>
          <t>_OBRADOR_ESCANDALLOS</t>
        </is>
      </c>
      <c r="B306" s="6" t="inlineStr">
        <is>
          <t>TARTA DE FRESA Y MENTA</t>
        </is>
      </c>
      <c r="C306" s="6" t="inlineStr">
        <is>
          <t>BRILLO</t>
        </is>
      </c>
      <c r="D306" s="9" t="n">
        <v>0.01</v>
      </c>
      <c r="E306" s="6" t="inlineStr">
        <is>
          <t>KG</t>
        </is>
      </c>
      <c r="F306" s="6">
        <f>IFERROR(SUMPRODUCT(('Ventas del mes'!$A$4:$A$72=A306)*('Ventas del mes'!$B$4:$B$72=B306)*'Ventas del mes'!$C$4:$C$72),0)</f>
        <v/>
      </c>
      <c r="G306" s="9">
        <f>D306*F306</f>
        <v/>
      </c>
    </row>
    <row r="307">
      <c r="A307" s="6" t="inlineStr">
        <is>
          <t>_OBRADOR_ESCANDALLOS</t>
        </is>
      </c>
      <c r="B307" s="6" t="inlineStr">
        <is>
          <t>TARTA DE FRESA Y MENTA</t>
        </is>
      </c>
      <c r="C307" s="6" t="inlineStr">
        <is>
          <t>HOJAS DE MENTA FRESCA</t>
        </is>
      </c>
      <c r="D307" s="9" t="n">
        <v>0.005</v>
      </c>
      <c r="E307" s="6" t="inlineStr">
        <is>
          <t>KG</t>
        </is>
      </c>
      <c r="F307" s="6">
        <f>IFERROR(SUMPRODUCT(('Ventas del mes'!$A$4:$A$72=A307)*('Ventas del mes'!$B$4:$B$72=B307)*'Ventas del mes'!$C$4:$C$72),0)</f>
        <v/>
      </c>
      <c r="G307" s="9">
        <f>D307*F307</f>
        <v/>
      </c>
    </row>
    <row r="308">
      <c r="A308" s="6" t="inlineStr">
        <is>
          <t>_OBRADOR_ESCANDALLOS</t>
        </is>
      </c>
      <c r="B308" s="6" t="inlineStr">
        <is>
          <t>TARTA DE PERAS Y ALMENDRAS</t>
        </is>
      </c>
      <c r="C308" s="6" t="inlineStr">
        <is>
          <t>SABLÈE</t>
        </is>
      </c>
      <c r="D308" s="9" t="n">
        <v>0.5</v>
      </c>
      <c r="E308" s="6" t="inlineStr">
        <is>
          <t>KG</t>
        </is>
      </c>
      <c r="F308" s="6">
        <f>IFERROR(SUMPRODUCT(('Ventas del mes'!$A$4:$A$72=A308)*('Ventas del mes'!$B$4:$B$72=B308)*'Ventas del mes'!$C$4:$C$72),0)</f>
        <v/>
      </c>
      <c r="G308" s="9">
        <f>D308*F308</f>
        <v/>
      </c>
    </row>
    <row r="309">
      <c r="A309" s="6" t="inlineStr">
        <is>
          <t>_OBRADOR_ESCANDALLOS</t>
        </is>
      </c>
      <c r="B309" s="6" t="inlineStr">
        <is>
          <t>TARTA DE PERAS Y ALMENDRAS</t>
        </is>
      </c>
      <c r="C309" s="6" t="inlineStr">
        <is>
          <t>CREMA DE ALMENDRAS</t>
        </is>
      </c>
      <c r="D309" s="9" t="n">
        <v>0.3</v>
      </c>
      <c r="E309" s="6" t="inlineStr">
        <is>
          <t>KG</t>
        </is>
      </c>
      <c r="F309" s="6">
        <f>IFERROR(SUMPRODUCT(('Ventas del mes'!$A$4:$A$72=A309)*('Ventas del mes'!$B$4:$B$72=B309)*'Ventas del mes'!$C$4:$C$72),0)</f>
        <v/>
      </c>
      <c r="G309" s="9">
        <f>D309*F309</f>
        <v/>
      </c>
    </row>
    <row r="310">
      <c r="A310" s="6" t="inlineStr">
        <is>
          <t>_OBRADOR_ESCANDALLOS</t>
        </is>
      </c>
      <c r="B310" s="6" t="inlineStr">
        <is>
          <t>TARTA DE PERAS Y ALMENDRAS</t>
        </is>
      </c>
      <c r="C310" s="6" t="inlineStr">
        <is>
          <t>PERAS EN ALMIBAR</t>
        </is>
      </c>
      <c r="D310" s="9" t="n">
        <v>0.9</v>
      </c>
      <c r="E310" s="6" t="inlineStr">
        <is>
          <t>KG</t>
        </is>
      </c>
      <c r="F310" s="6">
        <f>IFERROR(SUMPRODUCT(('Ventas del mes'!$A$4:$A$72=A310)*('Ventas del mes'!$B$4:$B$72=B310)*'Ventas del mes'!$C$4:$C$72),0)</f>
        <v/>
      </c>
      <c r="G310" s="9">
        <f>D310*F310</f>
        <v/>
      </c>
    </row>
    <row r="311">
      <c r="A311" s="6" t="inlineStr">
        <is>
          <t>_OBRADOR_ESCANDALLOS</t>
        </is>
      </c>
      <c r="B311" s="6" t="inlineStr">
        <is>
          <t>TARTA DE PERAS Y ALMENDRAS</t>
        </is>
      </c>
      <c r="C311" s="6" t="inlineStr">
        <is>
          <t>ALMIBAR DE CARDAMOMO REDUCIDO</t>
        </is>
      </c>
      <c r="D311" s="9" t="n">
        <v>0.015</v>
      </c>
      <c r="E311" s="6" t="inlineStr">
        <is>
          <t>KG</t>
        </is>
      </c>
      <c r="F311" s="6">
        <f>IFERROR(SUMPRODUCT(('Ventas del mes'!$A$4:$A$72=A311)*('Ventas del mes'!$B$4:$B$72=B311)*'Ventas del mes'!$C$4:$C$72),0)</f>
        <v/>
      </c>
      <c r="G311" s="9">
        <f>D311*F311</f>
        <v/>
      </c>
    </row>
    <row r="312">
      <c r="A312" s="6" t="inlineStr">
        <is>
          <t>_OBRADOR_ESCANDALLOS</t>
        </is>
      </c>
      <c r="B312" s="6" t="inlineStr">
        <is>
          <t>TARTA DE PERAS Y ALMENDRAS</t>
        </is>
      </c>
      <c r="C312" s="6" t="inlineStr">
        <is>
          <t>ALMENDRAS LAMINADAS</t>
        </is>
      </c>
      <c r="D312" s="9" t="n">
        <v>0.07000000000000001</v>
      </c>
      <c r="E312" s="6" t="inlineStr">
        <is>
          <t>KG</t>
        </is>
      </c>
      <c r="F312" s="6">
        <f>IFERROR(SUMPRODUCT(('Ventas del mes'!$A$4:$A$72=A312)*('Ventas del mes'!$B$4:$B$72=B312)*'Ventas del mes'!$C$4:$C$72),0)</f>
        <v/>
      </c>
      <c r="G312" s="9">
        <f>D312*F312</f>
        <v/>
      </c>
    </row>
    <row r="313">
      <c r="A313" s="6" t="inlineStr">
        <is>
          <t>_OBRADOR_ESCANDALLOS</t>
        </is>
      </c>
      <c r="B313" s="6" t="inlineStr">
        <is>
          <t>TARTA DE QUESO LADY MADRID 4-450 (1)</t>
        </is>
      </c>
      <c r="C313" s="6" t="inlineStr">
        <is>
          <t>SABLÈE</t>
        </is>
      </c>
      <c r="D313" s="9" t="n">
        <v>0.15</v>
      </c>
      <c r="E313" s="6" t="inlineStr">
        <is>
          <t>KG</t>
        </is>
      </c>
      <c r="F313" s="6">
        <f>IFERROR(SUMPRODUCT(('Ventas del mes'!$A$4:$A$72=A313)*('Ventas del mes'!$B$4:$B$72=B313)*'Ventas del mes'!$C$4:$C$72),0)</f>
        <v/>
      </c>
      <c r="G313" s="9">
        <f>D313*F313</f>
        <v/>
      </c>
    </row>
    <row r="314">
      <c r="A314" s="6" t="inlineStr">
        <is>
          <t>_OBRADOR_ESCANDALLOS</t>
        </is>
      </c>
      <c r="B314" s="6" t="inlineStr">
        <is>
          <t>TARTA DE QUESO LADY MADRID 4-450 (1)</t>
        </is>
      </c>
      <c r="C314" s="6" t="inlineStr">
        <is>
          <t>Mantequilla</t>
        </is>
      </c>
      <c r="D314" s="9" t="n">
        <v>0.04125</v>
      </c>
      <c r="E314" s="6" t="inlineStr">
        <is>
          <t>KG</t>
        </is>
      </c>
      <c r="F314" s="6">
        <f>IFERROR(SUMPRODUCT(('Ventas del mes'!$A$4:$A$72=A314)*('Ventas del mes'!$B$4:$B$72=B314)*'Ventas del mes'!$C$4:$C$72),0)</f>
        <v/>
      </c>
      <c r="G314" s="9">
        <f>D314*F314</f>
        <v/>
      </c>
    </row>
    <row r="315">
      <c r="A315" s="6" t="inlineStr">
        <is>
          <t>_OBRADOR_ESCANDALLOS</t>
        </is>
      </c>
      <c r="B315" s="6" t="inlineStr">
        <is>
          <t>TARTA DE QUESO LADY MADRID 4-450 (1)</t>
        </is>
      </c>
      <c r="C315" s="6" t="inlineStr">
        <is>
          <t>QUESO CREMA</t>
        </is>
      </c>
      <c r="D315" s="9" t="n">
        <v>0.6</v>
      </c>
      <c r="E315" s="6" t="inlineStr">
        <is>
          <t>KG</t>
        </is>
      </c>
      <c r="F315" s="6">
        <f>IFERROR(SUMPRODUCT(('Ventas del mes'!$A$4:$A$72=A315)*('Ventas del mes'!$B$4:$B$72=B315)*'Ventas del mes'!$C$4:$C$72),0)</f>
        <v/>
      </c>
      <c r="G315" s="9">
        <f>D315*F315</f>
        <v/>
      </c>
    </row>
    <row r="316">
      <c r="A316" s="6" t="inlineStr">
        <is>
          <t>_OBRADOR_ESCANDALLOS</t>
        </is>
      </c>
      <c r="B316" s="6" t="inlineStr">
        <is>
          <t>TARTA DE QUESO LADY MADRID 4-450 (1)</t>
        </is>
      </c>
      <c r="C316" s="6" t="inlineStr">
        <is>
          <t>AZÙCAR</t>
        </is>
      </c>
      <c r="D316" s="9" t="n">
        <v>0.15</v>
      </c>
      <c r="E316" s="6" t="inlineStr">
        <is>
          <t>KG</t>
        </is>
      </c>
      <c r="F316" s="6">
        <f>IFERROR(SUMPRODUCT(('Ventas del mes'!$A$4:$A$72=A316)*('Ventas del mes'!$B$4:$B$72=B316)*'Ventas del mes'!$C$4:$C$72),0)</f>
        <v/>
      </c>
      <c r="G316" s="9">
        <f>D316*F316</f>
        <v/>
      </c>
    </row>
    <row r="317">
      <c r="A317" s="6" t="inlineStr">
        <is>
          <t>_OBRADOR_ESCANDALLOS</t>
        </is>
      </c>
      <c r="B317" s="6" t="inlineStr">
        <is>
          <t>TARTA DE QUESO LADY MADRID 4-450 (1)</t>
        </is>
      </c>
      <c r="C317" s="6" t="inlineStr">
        <is>
          <t>HUEVOS</t>
        </is>
      </c>
      <c r="D317" s="9" t="n">
        <v>0.15</v>
      </c>
      <c r="E317" s="6" t="inlineStr">
        <is>
          <t>KG</t>
        </is>
      </c>
      <c r="F317" s="6">
        <f>IFERROR(SUMPRODUCT(('Ventas del mes'!$A$4:$A$72=A317)*('Ventas del mes'!$B$4:$B$72=B317)*'Ventas del mes'!$C$4:$C$72),0)</f>
        <v/>
      </c>
      <c r="G317" s="9">
        <f>D317*F317</f>
        <v/>
      </c>
    </row>
    <row r="318">
      <c r="A318" s="6" t="inlineStr">
        <is>
          <t>_OBRADOR_ESCANDALLOS</t>
        </is>
      </c>
      <c r="B318" s="6" t="inlineStr">
        <is>
          <t>TARTA DE QUESO LADY MADRID 4-450 (1)</t>
        </is>
      </c>
      <c r="C318" s="6" t="inlineStr">
        <is>
          <t>NATA</t>
        </is>
      </c>
      <c r="D318" s="9" t="n">
        <v>0.2625</v>
      </c>
      <c r="E318" s="6" t="inlineStr">
        <is>
          <t>KG</t>
        </is>
      </c>
      <c r="F318" s="6">
        <f>IFERROR(SUMPRODUCT(('Ventas del mes'!$A$4:$A$72=A318)*('Ventas del mes'!$B$4:$B$72=B318)*'Ventas del mes'!$C$4:$C$72),0)</f>
        <v/>
      </c>
      <c r="G318" s="9">
        <f>D318*F318</f>
        <v/>
      </c>
    </row>
    <row r="319">
      <c r="A319" s="6" t="inlineStr">
        <is>
          <t>_OBRADOR_ESCANDALLOS</t>
        </is>
      </c>
      <c r="B319" s="6" t="inlineStr">
        <is>
          <t>TARTA DE QUESO LADY MADRID 4-450 (1)</t>
        </is>
      </c>
      <c r="C319" s="6" t="inlineStr">
        <is>
          <t>HARINA FLOJA</t>
        </is>
      </c>
      <c r="D319" s="9" t="n">
        <v>0.01875</v>
      </c>
      <c r="E319" s="6" t="inlineStr">
        <is>
          <t>KG</t>
        </is>
      </c>
      <c r="F319" s="6">
        <f>IFERROR(SUMPRODUCT(('Ventas del mes'!$A$4:$A$72=A319)*('Ventas del mes'!$B$4:$B$72=B319)*'Ventas del mes'!$C$4:$C$72),0)</f>
        <v/>
      </c>
      <c r="G319" s="9">
        <f>D319*F319</f>
        <v/>
      </c>
    </row>
    <row r="320">
      <c r="A320" s="6" t="inlineStr">
        <is>
          <t>_OBRADOR_ESCANDALLOS</t>
        </is>
      </c>
      <c r="B320" s="6" t="inlineStr">
        <is>
          <t>TARTA DE QUESO LADY MADRID 4-450 SIN BASE</t>
        </is>
      </c>
      <c r="C320" s="6" t="inlineStr">
        <is>
          <t>QUESO CREMA</t>
        </is>
      </c>
      <c r="D320" s="9" t="n">
        <v>0.6</v>
      </c>
      <c r="E320" s="6" t="inlineStr">
        <is>
          <t>KG</t>
        </is>
      </c>
      <c r="F320" s="6">
        <f>IFERROR(SUMPRODUCT(('Ventas del mes'!$A$4:$A$72=A320)*('Ventas del mes'!$B$4:$B$72=B320)*'Ventas del mes'!$C$4:$C$72),0)</f>
        <v/>
      </c>
      <c r="G320" s="9">
        <f>D320*F320</f>
        <v/>
      </c>
    </row>
    <row r="321">
      <c r="A321" s="6" t="inlineStr">
        <is>
          <t>_OBRADOR_ESCANDALLOS</t>
        </is>
      </c>
      <c r="B321" s="6" t="inlineStr">
        <is>
          <t>TARTA DE QUESO LADY MADRID 4-450 SIN BASE</t>
        </is>
      </c>
      <c r="C321" s="6" t="inlineStr">
        <is>
          <t>AZÙCAR</t>
        </is>
      </c>
      <c r="D321" s="9" t="n">
        <v>0.15</v>
      </c>
      <c r="E321" s="6" t="inlineStr">
        <is>
          <t>KG</t>
        </is>
      </c>
      <c r="F321" s="6">
        <f>IFERROR(SUMPRODUCT(('Ventas del mes'!$A$4:$A$72=A321)*('Ventas del mes'!$B$4:$B$72=B321)*'Ventas del mes'!$C$4:$C$72),0)</f>
        <v/>
      </c>
      <c r="G321" s="9">
        <f>D321*F321</f>
        <v/>
      </c>
    </row>
    <row r="322">
      <c r="A322" s="6" t="inlineStr">
        <is>
          <t>_OBRADOR_ESCANDALLOS</t>
        </is>
      </c>
      <c r="B322" s="6" t="inlineStr">
        <is>
          <t>TARTA DE QUESO LADY MADRID 4-450 SIN BASE</t>
        </is>
      </c>
      <c r="C322" s="6" t="inlineStr">
        <is>
          <t>HUEVOS</t>
        </is>
      </c>
      <c r="D322" s="9" t="n">
        <v>0.15</v>
      </c>
      <c r="E322" s="6" t="inlineStr">
        <is>
          <t>KG</t>
        </is>
      </c>
      <c r="F322" s="6">
        <f>IFERROR(SUMPRODUCT(('Ventas del mes'!$A$4:$A$72=A322)*('Ventas del mes'!$B$4:$B$72=B322)*'Ventas del mes'!$C$4:$C$72),0)</f>
        <v/>
      </c>
      <c r="G322" s="9">
        <f>D322*F322</f>
        <v/>
      </c>
    </row>
    <row r="323">
      <c r="A323" s="6" t="inlineStr">
        <is>
          <t>_OBRADOR_ESCANDALLOS</t>
        </is>
      </c>
      <c r="B323" s="6" t="inlineStr">
        <is>
          <t>TARTA DE QUESO LADY MADRID 4-450 SIN BASE</t>
        </is>
      </c>
      <c r="C323" s="6" t="inlineStr">
        <is>
          <t>NATA</t>
        </is>
      </c>
      <c r="D323" s="9" t="n">
        <v>0.2625</v>
      </c>
      <c r="E323" s="6" t="inlineStr">
        <is>
          <t>KG</t>
        </is>
      </c>
      <c r="F323" s="6">
        <f>IFERROR(SUMPRODUCT(('Ventas del mes'!$A$4:$A$72=A323)*('Ventas del mes'!$B$4:$B$72=B323)*'Ventas del mes'!$C$4:$C$72),0)</f>
        <v/>
      </c>
      <c r="G323" s="9">
        <f>D323*F323</f>
        <v/>
      </c>
    </row>
    <row r="324">
      <c r="A324" s="6" t="inlineStr">
        <is>
          <t>_OBRADOR_ESCANDALLOS</t>
        </is>
      </c>
      <c r="B324" s="6" t="inlineStr">
        <is>
          <t>TARTA DE QUESO LADY MADRID 4-450 SIN BASE</t>
        </is>
      </c>
      <c r="C324" s="6" t="inlineStr">
        <is>
          <t>HARINA FLOJA</t>
        </is>
      </c>
      <c r="D324" s="9" t="n">
        <v>0.01875</v>
      </c>
      <c r="E324" s="6" t="inlineStr">
        <is>
          <t>KG</t>
        </is>
      </c>
      <c r="F324" s="6">
        <f>IFERROR(SUMPRODUCT(('Ventas del mes'!$A$4:$A$72=A324)*('Ventas del mes'!$B$4:$B$72=B324)*'Ventas del mes'!$C$4:$C$72),0)</f>
        <v/>
      </c>
      <c r="G324" s="9">
        <f>D324*F324</f>
        <v/>
      </c>
    </row>
    <row r="325">
      <c r="A325" s="6" t="inlineStr">
        <is>
          <t>BEBIDAS_OTRAS</t>
        </is>
      </c>
      <c r="B325" s="6" t="inlineStr">
        <is>
          <t>AGUA CON GAS</t>
        </is>
      </c>
      <c r="C325" s="6" t="inlineStr">
        <is>
          <t>AGUA CON GAS</t>
        </is>
      </c>
      <c r="D325" s="9" t="n">
        <v>1</v>
      </c>
      <c r="E325" s="6" t="inlineStr">
        <is>
          <t>UD</t>
        </is>
      </c>
      <c r="F325" s="6">
        <f>IFERROR(SUMPRODUCT(('Ventas del mes'!$A$4:$A$72=A325)*('Ventas del mes'!$B$4:$B$72=B325)*'Ventas del mes'!$C$4:$C$72),0)</f>
        <v/>
      </c>
      <c r="G325" s="9">
        <f>D325*F325</f>
        <v/>
      </c>
    </row>
    <row r="326">
      <c r="A326" s="6" t="inlineStr">
        <is>
          <t>BEBIDAS_OTRAS</t>
        </is>
      </c>
      <c r="B326" s="6" t="inlineStr">
        <is>
          <t>AGUA SIN GAS</t>
        </is>
      </c>
      <c r="C326" s="6" t="inlineStr">
        <is>
          <t>AGUA SIN GAS</t>
        </is>
      </c>
      <c r="D326" s="9" t="n">
        <v>1</v>
      </c>
      <c r="E326" s="6" t="inlineStr">
        <is>
          <t>UD</t>
        </is>
      </c>
      <c r="F326" s="6">
        <f>IFERROR(SUMPRODUCT(('Ventas del mes'!$A$4:$A$72=A326)*('Ventas del mes'!$B$4:$B$72=B326)*'Ventas del mes'!$C$4:$C$72),0)</f>
        <v/>
      </c>
      <c r="G326" s="9">
        <f>D326*F326</f>
        <v/>
      </c>
    </row>
    <row r="327">
      <c r="A327" s="6" t="inlineStr">
        <is>
          <t>BEBIDAS_OTRAS</t>
        </is>
      </c>
      <c r="B327" s="6" t="inlineStr">
        <is>
          <t>REFRESCO DE COLA</t>
        </is>
      </c>
      <c r="C327" s="6" t="inlineStr">
        <is>
          <t>REFRESCO DE COLA</t>
        </is>
      </c>
      <c r="D327" s="9" t="n">
        <v>1</v>
      </c>
      <c r="E327" s="6" t="inlineStr">
        <is>
          <t>UD</t>
        </is>
      </c>
      <c r="F327" s="6">
        <f>IFERROR(SUMPRODUCT(('Ventas del mes'!$A$4:$A$72=A327)*('Ventas del mes'!$B$4:$B$72=B327)*'Ventas del mes'!$C$4:$C$72),0)</f>
        <v/>
      </c>
      <c r="G327" s="9">
        <f>D327*F327</f>
        <v/>
      </c>
    </row>
    <row r="328">
      <c r="A328" s="6" t="inlineStr">
        <is>
          <t>BEBIDAS_OTRAS</t>
        </is>
      </c>
      <c r="B328" s="6" t="inlineStr">
        <is>
          <t>REFRESCO DE COLA ZERO</t>
        </is>
      </c>
      <c r="C328" s="6" t="inlineStr">
        <is>
          <t>REFRESCO DE COLA ZERO</t>
        </is>
      </c>
      <c r="D328" s="9" t="n">
        <v>1</v>
      </c>
      <c r="E328" s="6" t="inlineStr">
        <is>
          <t>UD</t>
        </is>
      </c>
      <c r="F328" s="6">
        <f>IFERROR(SUMPRODUCT(('Ventas del mes'!$A$4:$A$72=A328)*('Ventas del mes'!$B$4:$B$72=B328)*'Ventas del mes'!$C$4:$C$72),0)</f>
        <v/>
      </c>
      <c r="G328" s="9">
        <f>D328*F328</f>
        <v/>
      </c>
    </row>
    <row r="329">
      <c r="A329" s="6" t="inlineStr">
        <is>
          <t>BEBIDAS_OTRAS</t>
        </is>
      </c>
      <c r="B329" s="6" t="inlineStr">
        <is>
          <t>ZUMO DE NARANJA NATURAL</t>
        </is>
      </c>
      <c r="C329" s="6" t="inlineStr">
        <is>
          <t>ZUMO DE NARANJA NATURAL</t>
        </is>
      </c>
      <c r="D329" s="9" t="n">
        <v>1</v>
      </c>
      <c r="E329" s="6" t="inlineStr">
        <is>
          <t>UD</t>
        </is>
      </c>
      <c r="F329" s="6">
        <f>IFERROR(SUMPRODUCT(('Ventas del mes'!$A$4:$A$72=A329)*('Ventas del mes'!$B$4:$B$72=B329)*'Ventas del mes'!$C$4:$C$72),0)</f>
        <v/>
      </c>
      <c r="G329" s="9">
        <f>D329*F329</f>
        <v/>
      </c>
    </row>
    <row r="330">
      <c r="A330" s="6" t="inlineStr">
        <is>
          <t>BEBIDAS_OTRAS</t>
        </is>
      </c>
      <c r="B330" s="6" t="inlineStr">
        <is>
          <t>CERVEZA BOTELLÍN</t>
        </is>
      </c>
      <c r="C330" s="6" t="inlineStr">
        <is>
          <t>CERVEZA BOTELLÍN</t>
        </is>
      </c>
      <c r="D330" s="9" t="n">
        <v>1</v>
      </c>
      <c r="E330" s="6" t="inlineStr">
        <is>
          <t>UD</t>
        </is>
      </c>
      <c r="F330" s="6">
        <f>IFERROR(SUMPRODUCT(('Ventas del mes'!$A$4:$A$72=A330)*('Ventas del mes'!$B$4:$B$72=B330)*'Ventas del mes'!$C$4:$C$72),0)</f>
        <v/>
      </c>
      <c r="G330" s="9">
        <f>D330*F330</f>
        <v/>
      </c>
    </row>
    <row r="331">
      <c r="A331" s="6" t="inlineStr">
        <is>
          <t>BEBIDAS_OTRAS</t>
        </is>
      </c>
      <c r="B331" s="6" t="inlineStr">
        <is>
          <t>COPA DE VINO</t>
        </is>
      </c>
      <c r="C331" s="6" t="inlineStr">
        <is>
          <t>COPA DE VINO</t>
        </is>
      </c>
      <c r="D331" s="9" t="n">
        <v>1</v>
      </c>
      <c r="E331" s="6" t="inlineStr">
        <is>
          <t>UD</t>
        </is>
      </c>
      <c r="F331" s="6">
        <f>IFERROR(SUMPRODUCT(('Ventas del mes'!$A$4:$A$72=A331)*('Ventas del mes'!$B$4:$B$72=B331)*'Ventas del mes'!$C$4:$C$72),0)</f>
        <v/>
      </c>
      <c r="G331" s="9">
        <f>D331*F331</f>
        <v/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4" customWidth="1" min="4" max="4"/>
    <col width="18" customWidth="1" min="5" max="5"/>
    <col width="20" customWidth="1" min="6" max="6"/>
    <col width="20" customWidth="1" min="7" max="7"/>
    <col width="14" customWidth="1" min="8" max="8"/>
    <col width="12" customWidth="1" min="9" max="9"/>
    <col width="12" customWidth="1" min="10" max="10"/>
  </cols>
  <sheetData>
    <row r="1">
      <c r="A1" s="4" t="inlineStr">
        <is>
          <t>Inventario mensual — análisis de variación</t>
        </is>
      </c>
    </row>
    <row r="2">
      <c r="A2" s="11" t="inlineStr">
        <is>
          <t>Umbral de alerta de variación (%)</t>
        </is>
      </c>
      <c r="B2" s="12" t="n">
        <v>0.1</v>
      </c>
    </row>
    <row r="4" ht="34" customHeight="1">
      <c r="A4" s="8" t="inlineStr">
        <is>
          <t>Ingrediente</t>
        </is>
      </c>
      <c r="B4" s="8" t="inlineStr">
        <is>
          <t>Unidad</t>
        </is>
      </c>
      <c r="C4" s="8" t="inlineStr">
        <is>
          <t>Inventario mes anterior</t>
        </is>
      </c>
      <c r="D4" s="8" t="inlineStr">
        <is>
          <t>Compras del mes</t>
        </is>
      </c>
      <c r="E4" s="8" t="inlineStr">
        <is>
          <t>Ventas (consumo teórico)</t>
        </is>
      </c>
      <c r="F4" s="8" t="inlineStr">
        <is>
          <t>Inventario teórico esperado</t>
        </is>
      </c>
      <c r="G4" s="8" t="inlineStr">
        <is>
          <t>Inventario mes final (recuento real)</t>
        </is>
      </c>
      <c r="H4" s="8" t="inlineStr">
        <is>
          <t>Variación</t>
        </is>
      </c>
      <c r="I4" s="8" t="inlineStr">
        <is>
          <t>% Variación</t>
        </is>
      </c>
      <c r="J4" s="8" t="inlineStr">
        <is>
          <t>Revisar</t>
        </is>
      </c>
    </row>
    <row r="5">
      <c r="A5" s="6" t="inlineStr">
        <is>
          <t>Pan de masa madre</t>
        </is>
      </c>
      <c r="B5" s="6" t="inlineStr">
        <is>
          <t>KG</t>
        </is>
      </c>
      <c r="C5" s="13" t="n">
        <v>0</v>
      </c>
      <c r="D5" s="13" t="n">
        <v>0</v>
      </c>
      <c r="E5" s="9">
        <f>SUMIF(Escandallos!$C$4:$C$324,A5,Escandallos!$G$4:$G$324)</f>
        <v/>
      </c>
      <c r="F5" s="9">
        <f>C5+D5-E5</f>
        <v/>
      </c>
      <c r="G5" s="13" t="n">
        <v>0</v>
      </c>
      <c r="H5" s="9">
        <f>G5-F5</f>
        <v/>
      </c>
      <c r="I5" s="14">
        <f>IFERROR(H5/F5,0)</f>
        <v/>
      </c>
      <c r="J5" s="15">
        <f>IF(ABS(I5)&gt;$B$2,"Revisar","")</f>
        <v/>
      </c>
    </row>
    <row r="6">
      <c r="A6" s="6" t="inlineStr">
        <is>
          <t>Aguacate laminado</t>
        </is>
      </c>
      <c r="B6" s="6" t="inlineStr">
        <is>
          <t>KG</t>
        </is>
      </c>
      <c r="C6" s="13" t="n">
        <v>0</v>
      </c>
      <c r="D6" s="13" t="n">
        <v>0</v>
      </c>
      <c r="E6" s="9">
        <f>SUMIF(Escandallos!$C$4:$C$324,A6,Escandallos!$G$4:$G$324)</f>
        <v/>
      </c>
      <c r="F6" s="9">
        <f>C6+D6-E6</f>
        <v/>
      </c>
      <c r="G6" s="13" t="n">
        <v>0</v>
      </c>
      <c r="H6" s="9">
        <f>G6-F6</f>
        <v/>
      </c>
      <c r="I6" s="14">
        <f>IFERROR(H6/F6,0)</f>
        <v/>
      </c>
      <c r="J6" s="15">
        <f>IF(ABS(I6)&gt;$B$2,"Revisar","")</f>
        <v/>
      </c>
    </row>
    <row r="7">
      <c r="A7" s="6" t="inlineStr">
        <is>
          <t>Jamón ibérico</t>
        </is>
      </c>
      <c r="B7" s="6" t="inlineStr">
        <is>
          <t>KG</t>
        </is>
      </c>
      <c r="C7" s="13" t="n">
        <v>0</v>
      </c>
      <c r="D7" s="13" t="n">
        <v>0</v>
      </c>
      <c r="E7" s="9">
        <f>SUMIF(Escandallos!$C$4:$C$324,A7,Escandallos!$G$4:$G$324)</f>
        <v/>
      </c>
      <c r="F7" s="9">
        <f>C7+D7-E7</f>
        <v/>
      </c>
      <c r="G7" s="13" t="n">
        <v>0</v>
      </c>
      <c r="H7" s="9">
        <f>G7-F7</f>
        <v/>
      </c>
      <c r="I7" s="14">
        <f>IFERROR(H7/F7,0)</f>
        <v/>
      </c>
      <c r="J7" s="15">
        <f>IF(ABS(I7)&gt;$B$2,"Revisar","")</f>
        <v/>
      </c>
    </row>
    <row r="8">
      <c r="A8" s="6" t="inlineStr">
        <is>
          <t>Mix de semillas</t>
        </is>
      </c>
      <c r="B8" s="6" t="inlineStr">
        <is>
          <t>KG</t>
        </is>
      </c>
      <c r="C8" s="13" t="n">
        <v>0</v>
      </c>
      <c r="D8" s="13" t="n">
        <v>0</v>
      </c>
      <c r="E8" s="9">
        <f>SUMIF(Escandallos!$C$4:$C$324,A8,Escandallos!$G$4:$G$324)</f>
        <v/>
      </c>
      <c r="F8" s="9">
        <f>C8+D8-E8</f>
        <v/>
      </c>
      <c r="G8" s="13" t="n">
        <v>0</v>
      </c>
      <c r="H8" s="9">
        <f>G8-F8</f>
        <v/>
      </c>
      <c r="I8" s="14">
        <f>IFERROR(H8/F8,0)</f>
        <v/>
      </c>
      <c r="J8" s="15">
        <f>IF(ABS(I8)&gt;$B$2,"Revisar","")</f>
        <v/>
      </c>
    </row>
    <row r="9">
      <c r="A9" s="6" t="inlineStr">
        <is>
          <t>Germinados</t>
        </is>
      </c>
      <c r="B9" s="6" t="inlineStr">
        <is>
          <t>KG</t>
        </is>
      </c>
      <c r="C9" s="13" t="n">
        <v>0</v>
      </c>
      <c r="D9" s="13" t="n">
        <v>0</v>
      </c>
      <c r="E9" s="9">
        <f>SUMIF(Escandallos!$C$4:$C$324,A9,Escandallos!$G$4:$G$324)</f>
        <v/>
      </c>
      <c r="F9" s="9">
        <f>C9+D9-E9</f>
        <v/>
      </c>
      <c r="G9" s="13" t="n">
        <v>0</v>
      </c>
      <c r="H9" s="9">
        <f>G9-F9</f>
        <v/>
      </c>
      <c r="I9" s="14">
        <f>IFERROR(H9/F9,0)</f>
        <v/>
      </c>
      <c r="J9" s="15">
        <f>IF(ABS(I9)&gt;$B$2,"Revisar","")</f>
        <v/>
      </c>
    </row>
    <row r="10">
      <c r="A10" s="6" t="inlineStr">
        <is>
          <t>AOVE</t>
        </is>
      </c>
      <c r="B10" s="16" t="inlineStr">
        <is>
          <t>KG</t>
        </is>
      </c>
      <c r="C10" s="13" t="n">
        <v>0</v>
      </c>
      <c r="D10" s="13" t="n">
        <v>0</v>
      </c>
      <c r="E10" s="9">
        <f>SUMIF(Escandallos!$C$4:$C$324,A10,Escandallos!$G$4:$G$324)</f>
        <v/>
      </c>
      <c r="F10" s="9">
        <f>C10+D10-E10</f>
        <v/>
      </c>
      <c r="G10" s="13" t="n">
        <v>0</v>
      </c>
      <c r="H10" s="9">
        <f>G10-F10</f>
        <v/>
      </c>
      <c r="I10" s="14">
        <f>IFERROR(H10/F10,0)</f>
        <v/>
      </c>
      <c r="J10" s="15">
        <f>IF(ABS(I10)&gt;$B$2,"Revisar","")</f>
        <v/>
      </c>
    </row>
    <row r="11">
      <c r="A11" s="6" t="inlineStr">
        <is>
          <t>Escamas de sal</t>
        </is>
      </c>
      <c r="B11" s="16" t="inlineStr">
        <is>
          <t>KG</t>
        </is>
      </c>
      <c r="C11" s="13" t="n">
        <v>0</v>
      </c>
      <c r="D11" s="13" t="n">
        <v>0</v>
      </c>
      <c r="E11" s="9">
        <f>SUMIF(Escandallos!$C$4:$C$324,A11,Escandallos!$G$4:$G$324)</f>
        <v/>
      </c>
      <c r="F11" s="9">
        <f>C11+D11-E11</f>
        <v/>
      </c>
      <c r="G11" s="13" t="n">
        <v>0</v>
      </c>
      <c r="H11" s="9">
        <f>G11-F11</f>
        <v/>
      </c>
      <c r="I11" s="14">
        <f>IFERROR(H11/F11,0)</f>
        <v/>
      </c>
      <c r="J11" s="15">
        <f>IF(ABS(I11)&gt;$B$2,"Revisar","")</f>
        <v/>
      </c>
    </row>
    <row r="12">
      <c r="A12" s="6" t="inlineStr">
        <is>
          <t>Tomate</t>
        </is>
      </c>
      <c r="B12" s="6" t="inlineStr">
        <is>
          <t>KG</t>
        </is>
      </c>
      <c r="C12" s="13" t="n">
        <v>0</v>
      </c>
      <c r="D12" s="13" t="n">
        <v>0</v>
      </c>
      <c r="E12" s="9">
        <f>SUMIF(Escandallos!$C$4:$C$324,A12,Escandallos!$G$4:$G$324)</f>
        <v/>
      </c>
      <c r="F12" s="9">
        <f>C12+D12-E12</f>
        <v/>
      </c>
      <c r="G12" s="13" t="n">
        <v>0</v>
      </c>
      <c r="H12" s="9">
        <f>G12-F12</f>
        <v/>
      </c>
      <c r="I12" s="14">
        <f>IFERROR(H12/F12,0)</f>
        <v/>
      </c>
      <c r="J12" s="15">
        <f>IF(ABS(I12)&gt;$B$2,"Revisar","")</f>
        <v/>
      </c>
    </row>
    <row r="13">
      <c r="A13" s="6" t="inlineStr">
        <is>
          <t>Huevo pochado (opcional)</t>
        </is>
      </c>
      <c r="B13" s="16" t="inlineStr">
        <is>
          <t>UD</t>
        </is>
      </c>
      <c r="C13" s="13" t="n">
        <v>0</v>
      </c>
      <c r="D13" s="13" t="n">
        <v>0</v>
      </c>
      <c r="E13" s="9">
        <f>SUMIF(Escandallos!$C$4:$C$324,A13,Escandallos!$G$4:$G$324)</f>
        <v/>
      </c>
      <c r="F13" s="9">
        <f>C13+D13-E13</f>
        <v/>
      </c>
      <c r="G13" s="13" t="n">
        <v>0</v>
      </c>
      <c r="H13" s="9">
        <f>G13-F13</f>
        <v/>
      </c>
      <c r="I13" s="14">
        <f>IFERROR(H13/F13,0)</f>
        <v/>
      </c>
      <c r="J13" s="15">
        <f>IF(ABS(I13)&gt;$B$2,"Revisar","")</f>
        <v/>
      </c>
    </row>
    <row r="14">
      <c r="A14" s="6" t="inlineStr">
        <is>
          <t>Rabanos laminados</t>
        </is>
      </c>
      <c r="B14" s="6" t="inlineStr">
        <is>
          <t>KG</t>
        </is>
      </c>
      <c r="C14" s="13" t="n">
        <v>0</v>
      </c>
      <c r="D14" s="13" t="n">
        <v>0</v>
      </c>
      <c r="E14" s="9">
        <f>SUMIF(Escandallos!$C$4:$C$324,A14,Escandallos!$G$4:$G$324)</f>
        <v/>
      </c>
      <c r="F14" s="9">
        <f>C14+D14-E14</f>
        <v/>
      </c>
      <c r="G14" s="13" t="n">
        <v>0</v>
      </c>
      <c r="H14" s="9">
        <f>G14-F14</f>
        <v/>
      </c>
      <c r="I14" s="14">
        <f>IFERROR(H14/F14,0)</f>
        <v/>
      </c>
      <c r="J14" s="15">
        <f>IF(ABS(I14)&gt;$B$2,"Revisar","")</f>
        <v/>
      </c>
    </row>
    <row r="15">
      <c r="A15" s="6" t="inlineStr">
        <is>
          <t>Huevo pochado</t>
        </is>
      </c>
      <c r="B15" s="16" t="inlineStr">
        <is>
          <t>UD</t>
        </is>
      </c>
      <c r="C15" s="13" t="n">
        <v>0</v>
      </c>
      <c r="D15" s="13" t="n">
        <v>0</v>
      </c>
      <c r="E15" s="9">
        <f>SUMIF(Escandallos!$C$4:$C$324,A15,Escandallos!$G$4:$G$324)</f>
        <v/>
      </c>
      <c r="F15" s="9">
        <f>C15+D15-E15</f>
        <v/>
      </c>
      <c r="G15" s="13" t="n">
        <v>0</v>
      </c>
      <c r="H15" s="9">
        <f>G15-F15</f>
        <v/>
      </c>
      <c r="I15" s="14">
        <f>IFERROR(H15/F15,0)</f>
        <v/>
      </c>
      <c r="J15" s="15">
        <f>IF(ABS(I15)&gt;$B$2,"Revisar","")</f>
        <v/>
      </c>
    </row>
    <row r="16">
      <c r="A16" s="6" t="inlineStr">
        <is>
          <t>Chili flakes</t>
        </is>
      </c>
      <c r="B16" s="6" t="inlineStr">
        <is>
          <t>KG</t>
        </is>
      </c>
      <c r="C16" s="13" t="n">
        <v>0</v>
      </c>
      <c r="D16" s="13" t="n">
        <v>0</v>
      </c>
      <c r="E16" s="9">
        <f>SUMIF(Escandallos!$C$4:$C$324,A16,Escandallos!$G$4:$G$324)</f>
        <v/>
      </c>
      <c r="F16" s="9">
        <f>C16+D16-E16</f>
        <v/>
      </c>
      <c r="G16" s="13" t="n">
        <v>0</v>
      </c>
      <c r="H16" s="9">
        <f>G16-F16</f>
        <v/>
      </c>
      <c r="I16" s="14">
        <f>IFERROR(H16/F16,0)</f>
        <v/>
      </c>
      <c r="J16" s="15">
        <f>IF(ABS(I16)&gt;$B$2,"Revisar","")</f>
        <v/>
      </c>
    </row>
    <row r="17">
      <c r="A17" s="6" t="inlineStr">
        <is>
          <t>Tomate rallado</t>
        </is>
      </c>
      <c r="B17" s="6" t="inlineStr">
        <is>
          <t>KG</t>
        </is>
      </c>
      <c r="C17" s="13" t="n">
        <v>0</v>
      </c>
      <c r="D17" s="13" t="n">
        <v>0</v>
      </c>
      <c r="E17" s="9">
        <f>SUMIF(Escandallos!$C$4:$C$324,A17,Escandallos!$G$4:$G$324)</f>
        <v/>
      </c>
      <c r="F17" s="9">
        <f>C17+D17-E17</f>
        <v/>
      </c>
      <c r="G17" s="13" t="n">
        <v>0</v>
      </c>
      <c r="H17" s="9">
        <f>G17-F17</f>
        <v/>
      </c>
      <c r="I17" s="14">
        <f>IFERROR(H17/F17,0)</f>
        <v/>
      </c>
      <c r="J17" s="15">
        <f>IF(ABS(I17)&gt;$B$2,"Revisar","")</f>
        <v/>
      </c>
    </row>
    <row r="18">
      <c r="A18" s="6" t="inlineStr">
        <is>
          <t>Huevo revuelto (opcional)</t>
        </is>
      </c>
      <c r="B18" s="6" t="inlineStr">
        <is>
          <t>UD</t>
        </is>
      </c>
      <c r="C18" s="13" t="n">
        <v>0</v>
      </c>
      <c r="D18" s="13" t="n">
        <v>0</v>
      </c>
      <c r="E18" s="9">
        <f>SUMIF(Escandallos!$C$4:$C$324,A18,Escandallos!$G$4:$G$324)</f>
        <v/>
      </c>
      <c r="F18" s="9">
        <f>C18+D18-E18</f>
        <v/>
      </c>
      <c r="G18" s="13" t="n">
        <v>0</v>
      </c>
      <c r="H18" s="9">
        <f>G18-F18</f>
        <v/>
      </c>
      <c r="I18" s="14">
        <f>IFERROR(H18/F18,0)</f>
        <v/>
      </c>
      <c r="J18" s="15">
        <f>IF(ABS(I18)&gt;$B$2,"Revisar","")</f>
        <v/>
      </c>
    </row>
    <row r="19">
      <c r="A19" s="6" t="inlineStr">
        <is>
          <t>Jamón Ibérico (Opcional)</t>
        </is>
      </c>
      <c r="B19" s="6" t="inlineStr">
        <is>
          <t>KG</t>
        </is>
      </c>
      <c r="C19" s="13" t="n">
        <v>0</v>
      </c>
      <c r="D19" s="13" t="n">
        <v>0</v>
      </c>
      <c r="E19" s="9">
        <f>SUMIF(Escandallos!$C$4:$C$324,A19,Escandallos!$G$4:$G$324)</f>
        <v/>
      </c>
      <c r="F19" s="9">
        <f>C19+D19-E19</f>
        <v/>
      </c>
      <c r="G19" s="13" t="n">
        <v>0</v>
      </c>
      <c r="H19" s="9">
        <f>G19-F19</f>
        <v/>
      </c>
      <c r="I19" s="14">
        <f>IFERROR(H19/F19,0)</f>
        <v/>
      </c>
      <c r="J19" s="15">
        <f>IF(ABS(I19)&gt;$B$2,"Revisar","")</f>
        <v/>
      </c>
    </row>
    <row r="20">
      <c r="A20" s="6" t="inlineStr">
        <is>
          <t>Queso de la sierra guadarrama (opcional)</t>
        </is>
      </c>
      <c r="B20" s="6" t="inlineStr">
        <is>
          <t>KG</t>
        </is>
      </c>
      <c r="C20" s="13" t="n">
        <v>0</v>
      </c>
      <c r="D20" s="13" t="n">
        <v>0</v>
      </c>
      <c r="E20" s="9">
        <f>SUMIF(Escandallos!$C$4:$C$324,A20,Escandallos!$G$4:$G$324)</f>
        <v/>
      </c>
      <c r="F20" s="9">
        <f>C20+D20-E20</f>
        <v/>
      </c>
      <c r="G20" s="13" t="n">
        <v>0</v>
      </c>
      <c r="H20" s="9">
        <f>G20-F20</f>
        <v/>
      </c>
      <c r="I20" s="14">
        <f>IFERROR(H20/F20,0)</f>
        <v/>
      </c>
      <c r="J20" s="15">
        <f>IF(ABS(I20)&gt;$B$2,"Revisar","")</f>
        <v/>
      </c>
    </row>
    <row r="21">
      <c r="A21" s="6" t="inlineStr">
        <is>
          <t>Mantequilla batida</t>
        </is>
      </c>
      <c r="B21" s="6" t="inlineStr">
        <is>
          <t>KG</t>
        </is>
      </c>
      <c r="C21" s="13" t="n">
        <v>0</v>
      </c>
      <c r="D21" s="13" t="n">
        <v>0</v>
      </c>
      <c r="E21" s="9">
        <f>SUMIF(Escandallos!$C$4:$C$324,A21,Escandallos!$G$4:$G$324)</f>
        <v/>
      </c>
      <c r="F21" s="9">
        <f>C21+D21-E21</f>
        <v/>
      </c>
      <c r="G21" s="13" t="n">
        <v>0</v>
      </c>
      <c r="H21" s="9">
        <f>G21-F21</f>
        <v/>
      </c>
      <c r="I21" s="14">
        <f>IFERROR(H21/F21,0)</f>
        <v/>
      </c>
      <c r="J21" s="15">
        <f>IF(ABS(I21)&gt;$B$2,"Revisar","")</f>
        <v/>
      </c>
    </row>
    <row r="22">
      <c r="A22" s="6" t="inlineStr">
        <is>
          <t>Mermelada de miel y limón O Naranja</t>
        </is>
      </c>
      <c r="B22" s="6" t="inlineStr">
        <is>
          <t>KG</t>
        </is>
      </c>
      <c r="C22" s="13" t="n">
        <v>0</v>
      </c>
      <c r="D22" s="13" t="n">
        <v>0</v>
      </c>
      <c r="E22" s="9">
        <f>SUMIF(Escandallos!$C$4:$C$324,A22,Escandallos!$G$4:$G$324)</f>
        <v/>
      </c>
      <c r="F22" s="9">
        <f>C22+D22-E22</f>
        <v/>
      </c>
      <c r="G22" s="13" t="n">
        <v>0</v>
      </c>
      <c r="H22" s="9">
        <f>G22-F22</f>
        <v/>
      </c>
      <c r="I22" s="14">
        <f>IFERROR(H22/F22,0)</f>
        <v/>
      </c>
      <c r="J22" s="15">
        <f>IF(ABS(I22)&gt;$B$2,"Revisar","")</f>
        <v/>
      </c>
    </row>
    <row r="23">
      <c r="A23" s="6" t="inlineStr">
        <is>
          <t>Ralladura de limón o Naranja</t>
        </is>
      </c>
      <c r="B23" s="6" t="inlineStr">
        <is>
          <t>KG</t>
        </is>
      </c>
      <c r="C23" s="13" t="n">
        <v>0</v>
      </c>
      <c r="D23" s="13" t="n">
        <v>0</v>
      </c>
      <c r="E23" s="9">
        <f>SUMIF(Escandallos!$C$4:$C$324,A23,Escandallos!$G$4:$G$324)</f>
        <v/>
      </c>
      <c r="F23" s="9">
        <f>C23+D23-E23</f>
        <v/>
      </c>
      <c r="G23" s="13" t="n">
        <v>0</v>
      </c>
      <c r="H23" s="9">
        <f>G23-F23</f>
        <v/>
      </c>
      <c r="I23" s="14">
        <f>IFERROR(H23/F23,0)</f>
        <v/>
      </c>
      <c r="J23" s="15">
        <f>IF(ABS(I23)&gt;$B$2,"Revisar","")</f>
        <v/>
      </c>
    </row>
    <row r="24">
      <c r="A24" s="6" t="inlineStr">
        <is>
          <t>Salmon ahumado</t>
        </is>
      </c>
      <c r="B24" s="6" t="inlineStr">
        <is>
          <t>L</t>
        </is>
      </c>
      <c r="C24" s="13" t="n">
        <v>0</v>
      </c>
      <c r="D24" s="13" t="n">
        <v>0</v>
      </c>
      <c r="E24" s="9">
        <f>SUMIF(Escandallos!$C$4:$C$324,A24,Escandallos!$G$4:$G$324)</f>
        <v/>
      </c>
      <c r="F24" s="9">
        <f>C24+D24-E24</f>
        <v/>
      </c>
      <c r="G24" s="13" t="n">
        <v>0</v>
      </c>
      <c r="H24" s="9">
        <f>G24-F24</f>
        <v/>
      </c>
      <c r="I24" s="14">
        <f>IFERROR(H24/F24,0)</f>
        <v/>
      </c>
      <c r="J24" s="15">
        <f>IF(ABS(I24)&gt;$B$2,"Revisar","")</f>
        <v/>
      </c>
    </row>
    <row r="25">
      <c r="A25" s="6" t="inlineStr">
        <is>
          <t>Pepino encurtido</t>
        </is>
      </c>
      <c r="B25" s="6" t="inlineStr">
        <is>
          <t>KG</t>
        </is>
      </c>
      <c r="C25" s="13" t="n">
        <v>0</v>
      </c>
      <c r="D25" s="13" t="n">
        <v>0</v>
      </c>
      <c r="E25" s="9">
        <f>SUMIF(Escandallos!$C$4:$C$324,A25,Escandallos!$G$4:$G$324)</f>
        <v/>
      </c>
      <c r="F25" s="9">
        <f>C25+D25-E25</f>
        <v/>
      </c>
      <c r="G25" s="13" t="n">
        <v>0</v>
      </c>
      <c r="H25" s="9">
        <f>G25-F25</f>
        <v/>
      </c>
      <c r="I25" s="14">
        <f>IFERROR(H25/F25,0)</f>
        <v/>
      </c>
      <c r="J25" s="15">
        <f>IF(ABS(I25)&gt;$B$2,"Revisar","")</f>
        <v/>
      </c>
    </row>
    <row r="26">
      <c r="A26" s="6" t="inlineStr">
        <is>
          <t>Eneldo fresco</t>
        </is>
      </c>
      <c r="B26" s="6" t="inlineStr">
        <is>
          <t>KG</t>
        </is>
      </c>
      <c r="C26" s="13" t="n">
        <v>0</v>
      </c>
      <c r="D26" s="13" t="n">
        <v>0</v>
      </c>
      <c r="E26" s="9">
        <f>SUMIF(Escandallos!$C$4:$C$324,A26,Escandallos!$G$4:$G$324)</f>
        <v/>
      </c>
      <c r="F26" s="9">
        <f>C26+D26-E26</f>
        <v/>
      </c>
      <c r="G26" s="13" t="n">
        <v>0</v>
      </c>
      <c r="H26" s="9">
        <f>G26-F26</f>
        <v/>
      </c>
      <c r="I26" s="14">
        <f>IFERROR(H26/F26,0)</f>
        <v/>
      </c>
      <c r="J26" s="15">
        <f>IF(ABS(I26)&gt;$B$2,"Revisar","")</f>
        <v/>
      </c>
    </row>
    <row r="27">
      <c r="A27" s="6" t="inlineStr">
        <is>
          <t>Pimienta negra molida</t>
        </is>
      </c>
      <c r="B27" s="6" t="inlineStr">
        <is>
          <t>KG</t>
        </is>
      </c>
      <c r="C27" s="13" t="n">
        <v>0</v>
      </c>
      <c r="D27" s="13" t="n">
        <v>0</v>
      </c>
      <c r="E27" s="9">
        <f>SUMIF(Escandallos!$C$4:$C$324,A27,Escandallos!$G$4:$G$324)</f>
        <v/>
      </c>
      <c r="F27" s="9">
        <f>C27+D27-E27</f>
        <v/>
      </c>
      <c r="G27" s="13" t="n">
        <v>0</v>
      </c>
      <c r="H27" s="9">
        <f>G27-F27</f>
        <v/>
      </c>
      <c r="I27" s="14">
        <f>IFERROR(H27/F27,0)</f>
        <v/>
      </c>
      <c r="J27" s="15">
        <f>IF(ABS(I27)&gt;$B$2,"Revisar","")</f>
        <v/>
      </c>
    </row>
    <row r="28">
      <c r="A28" s="6" t="inlineStr">
        <is>
          <t>Ralladura de limón</t>
        </is>
      </c>
      <c r="B28" s="6" t="inlineStr">
        <is>
          <t>KG</t>
        </is>
      </c>
      <c r="C28" s="13" t="n">
        <v>0</v>
      </c>
      <c r="D28" s="13" t="n">
        <v>0</v>
      </c>
      <c r="E28" s="9">
        <f>SUMIF(Escandallos!$C$4:$C$324,A28,Escandallos!$G$4:$G$324)</f>
        <v/>
      </c>
      <c r="F28" s="9">
        <f>C28+D28-E28</f>
        <v/>
      </c>
      <c r="G28" s="13" t="n">
        <v>0</v>
      </c>
      <c r="H28" s="9">
        <f>G28-F28</f>
        <v/>
      </c>
      <c r="I28" s="14">
        <f>IFERROR(H28/F28,0)</f>
        <v/>
      </c>
      <c r="J28" s="15">
        <f>IF(ABS(I28)&gt;$B$2,"Revisar","")</f>
        <v/>
      </c>
    </row>
    <row r="29">
      <c r="A29" s="6" t="inlineStr">
        <is>
          <t>Tomate asado</t>
        </is>
      </c>
      <c r="B29" s="6" t="inlineStr">
        <is>
          <t>KG</t>
        </is>
      </c>
      <c r="C29" s="13" t="n">
        <v>0</v>
      </c>
      <c r="D29" s="13" t="n">
        <v>0</v>
      </c>
      <c r="E29" s="9">
        <f>SUMIF(Escandallos!$C$4:$C$324,A29,Escandallos!$G$4:$G$324)</f>
        <v/>
      </c>
      <c r="F29" s="9">
        <f>C29+D29-E29</f>
        <v/>
      </c>
      <c r="G29" s="13" t="n">
        <v>0</v>
      </c>
      <c r="H29" s="9">
        <f>G29-F29</f>
        <v/>
      </c>
      <c r="I29" s="14">
        <f>IFERROR(H29/F29,0)</f>
        <v/>
      </c>
      <c r="J29" s="15">
        <f>IF(ABS(I29)&gt;$B$2,"Revisar","")</f>
        <v/>
      </c>
    </row>
    <row r="30">
      <c r="A30" s="6" t="inlineStr">
        <is>
          <t>4 filetes de anchoa</t>
        </is>
      </c>
      <c r="B30" s="6" t="inlineStr">
        <is>
          <t>L</t>
        </is>
      </c>
      <c r="C30" s="13" t="n">
        <v>0</v>
      </c>
      <c r="D30" s="13" t="n">
        <v>0</v>
      </c>
      <c r="E30" s="9">
        <f>SUMIF(Escandallos!$C$4:$C$324,A30,Escandallos!$G$4:$G$324)</f>
        <v/>
      </c>
      <c r="F30" s="9">
        <f>C30+D30-E30</f>
        <v/>
      </c>
      <c r="G30" s="13" t="n">
        <v>0</v>
      </c>
      <c r="H30" s="9">
        <f>G30-F30</f>
        <v/>
      </c>
      <c r="I30" s="14">
        <f>IFERROR(H30/F30,0)</f>
        <v/>
      </c>
      <c r="J30" s="15">
        <f>IF(ABS(I30)&gt;$B$2,"Revisar","")</f>
        <v/>
      </c>
    </row>
    <row r="31">
      <c r="A31" s="6" t="inlineStr">
        <is>
          <t>Pimienta negra</t>
        </is>
      </c>
      <c r="B31" s="6" t="inlineStr">
        <is>
          <t>KG</t>
        </is>
      </c>
      <c r="C31" s="13" t="n">
        <v>0</v>
      </c>
      <c r="D31" s="13" t="n">
        <v>0</v>
      </c>
      <c r="E31" s="9">
        <f>SUMIF(Escandallos!$C$4:$C$324,A31,Escandallos!$G$4:$G$324)</f>
        <v/>
      </c>
      <c r="F31" s="9">
        <f>C31+D31-E31</f>
        <v/>
      </c>
      <c r="G31" s="13" t="n">
        <v>0</v>
      </c>
      <c r="H31" s="9">
        <f>G31-F31</f>
        <v/>
      </c>
      <c r="I31" s="14">
        <f>IFERROR(H31/F31,0)</f>
        <v/>
      </c>
      <c r="J31" s="15">
        <f>IF(ABS(I31)&gt;$B$2,"Revisar","")</f>
        <v/>
      </c>
    </row>
    <row r="32">
      <c r="A32" s="6" t="inlineStr">
        <is>
          <t>Pisto</t>
        </is>
      </c>
      <c r="B32" s="6" t="inlineStr">
        <is>
          <t>KG</t>
        </is>
      </c>
      <c r="C32" s="13" t="n">
        <v>0</v>
      </c>
      <c r="D32" s="13" t="n">
        <v>0</v>
      </c>
      <c r="E32" s="9">
        <f>SUMIF(Escandallos!$C$4:$C$324,A32,Escandallos!$G$4:$G$324)</f>
        <v/>
      </c>
      <c r="F32" s="9">
        <f>C32+D32-E32</f>
        <v/>
      </c>
      <c r="G32" s="13" t="n">
        <v>0</v>
      </c>
      <c r="H32" s="9">
        <f>G32-F32</f>
        <v/>
      </c>
      <c r="I32" s="14">
        <f>IFERROR(H32/F32,0)</f>
        <v/>
      </c>
      <c r="J32" s="15">
        <f>IF(ABS(I32)&gt;$B$2,"Revisar","")</f>
        <v/>
      </c>
    </row>
    <row r="33">
      <c r="A33" s="6" t="inlineStr">
        <is>
          <t>Yema curada</t>
        </is>
      </c>
      <c r="B33" s="6" t="inlineStr">
        <is>
          <t>KG</t>
        </is>
      </c>
      <c r="C33" s="13" t="n">
        <v>0</v>
      </c>
      <c r="D33" s="13" t="n">
        <v>0</v>
      </c>
      <c r="E33" s="9">
        <f>SUMIF(Escandallos!$C$4:$C$324,A33,Escandallos!$G$4:$G$324)</f>
        <v/>
      </c>
      <c r="F33" s="9">
        <f>C33+D33-E33</f>
        <v/>
      </c>
      <c r="G33" s="13" t="n">
        <v>0</v>
      </c>
      <c r="H33" s="9">
        <f>G33-F33</f>
        <v/>
      </c>
      <c r="I33" s="14">
        <f>IFERROR(H33/F33,0)</f>
        <v/>
      </c>
      <c r="J33" s="15">
        <f>IF(ABS(I33)&gt;$B$2,"Revisar","")</f>
        <v/>
      </c>
    </row>
    <row r="34">
      <c r="A34" s="6" t="inlineStr">
        <is>
          <t>Yema curada rallada</t>
        </is>
      </c>
      <c r="B34" s="6" t="inlineStr">
        <is>
          <t>KG</t>
        </is>
      </c>
      <c r="C34" s="13" t="n">
        <v>0</v>
      </c>
      <c r="D34" s="13" t="n">
        <v>0</v>
      </c>
      <c r="E34" s="9">
        <f>SUMIF(Escandallos!$C$4:$C$324,A34,Escandallos!$G$4:$G$324)</f>
        <v/>
      </c>
      <c r="F34" s="9">
        <f>C34+D34-E34</f>
        <v/>
      </c>
      <c r="G34" s="13" t="n">
        <v>0</v>
      </c>
      <c r="H34" s="9">
        <f>G34-F34</f>
        <v/>
      </c>
      <c r="I34" s="14">
        <f>IFERROR(H34/F34,0)</f>
        <v/>
      </c>
      <c r="J34" s="15">
        <f>IF(ABS(I34)&gt;$B$2,"Revisar","")</f>
        <v/>
      </c>
    </row>
    <row r="35">
      <c r="A35" s="6" t="inlineStr">
        <is>
          <t>Humus</t>
        </is>
      </c>
      <c r="B35" s="6" t="inlineStr">
        <is>
          <t>KG</t>
        </is>
      </c>
      <c r="C35" s="13" t="n">
        <v>0</v>
      </c>
      <c r="D35" s="13" t="n">
        <v>0</v>
      </c>
      <c r="E35" s="9">
        <f>SUMIF(Escandallos!$C$4:$C$324,A35,Escandallos!$G$4:$G$324)</f>
        <v/>
      </c>
      <c r="F35" s="9">
        <f>C35+D35-E35</f>
        <v/>
      </c>
      <c r="G35" s="13" t="n">
        <v>0</v>
      </c>
      <c r="H35" s="9">
        <f>G35-F35</f>
        <v/>
      </c>
      <c r="I35" s="14">
        <f>IFERROR(H35/F35,0)</f>
        <v/>
      </c>
      <c r="J35" s="15">
        <f>IF(ABS(I35)&gt;$B$2,"Revisar","")</f>
        <v/>
      </c>
    </row>
    <row r="36">
      <c r="A36" s="6" t="inlineStr">
        <is>
          <t>Col horneada</t>
        </is>
      </c>
      <c r="B36" s="6" t="inlineStr">
        <is>
          <t>KG</t>
        </is>
      </c>
      <c r="C36" s="13" t="n">
        <v>0</v>
      </c>
      <c r="D36" s="13" t="n">
        <v>0</v>
      </c>
      <c r="E36" s="9">
        <f>SUMIF(Escandallos!$C$4:$C$324,A36,Escandallos!$G$4:$G$324)</f>
        <v/>
      </c>
      <c r="F36" s="9">
        <f>C36+D36-E36</f>
        <v/>
      </c>
      <c r="G36" s="13" t="n">
        <v>0</v>
      </c>
      <c r="H36" s="9">
        <f>G36-F36</f>
        <v/>
      </c>
      <c r="I36" s="14">
        <f>IFERROR(H36/F36,0)</f>
        <v/>
      </c>
      <c r="J36" s="15">
        <f>IF(ABS(I36)&gt;$B$2,"Revisar","")</f>
        <v/>
      </c>
    </row>
    <row r="37">
      <c r="A37" s="6" t="inlineStr">
        <is>
          <t>Tocino crujiente</t>
        </is>
      </c>
      <c r="B37" s="6" t="inlineStr">
        <is>
          <t>KG</t>
        </is>
      </c>
      <c r="C37" s="13" t="n">
        <v>0</v>
      </c>
      <c r="D37" s="13" t="n">
        <v>0</v>
      </c>
      <c r="E37" s="9">
        <f>SUMIF(Escandallos!$C$4:$C$324,A37,Escandallos!$G$4:$G$324)</f>
        <v/>
      </c>
      <c r="F37" s="9">
        <f>C37+D37-E37</f>
        <v/>
      </c>
      <c r="G37" s="13" t="n">
        <v>0</v>
      </c>
      <c r="H37" s="9">
        <f>G37-F37</f>
        <v/>
      </c>
      <c r="I37" s="14">
        <f>IFERROR(H37/F37,0)</f>
        <v/>
      </c>
      <c r="J37" s="15">
        <f>IF(ABS(I37)&gt;$B$2,"Revisar","")</f>
        <v/>
      </c>
    </row>
    <row r="38">
      <c r="A38" s="6" t="inlineStr">
        <is>
          <t>Pimentón ahumado</t>
        </is>
      </c>
      <c r="B38" s="6" t="inlineStr">
        <is>
          <t>KG</t>
        </is>
      </c>
      <c r="C38" s="13" t="n">
        <v>0</v>
      </c>
      <c r="D38" s="13" t="n">
        <v>0</v>
      </c>
      <c r="E38" s="9">
        <f>SUMIF(Escandallos!$C$4:$C$324,A38,Escandallos!$G$4:$G$324)</f>
        <v/>
      </c>
      <c r="F38" s="9">
        <f>C38+D38-E38</f>
        <v/>
      </c>
      <c r="G38" s="13" t="n">
        <v>0</v>
      </c>
      <c r="H38" s="9">
        <f>G38-F38</f>
        <v/>
      </c>
      <c r="I38" s="14">
        <f>IFERROR(H38/F38,0)</f>
        <v/>
      </c>
      <c r="J38" s="15">
        <f>IF(ABS(I38)&gt;$B$2,"Revisar","")</f>
        <v/>
      </c>
    </row>
    <row r="39">
      <c r="A39" s="6" t="inlineStr">
        <is>
          <t>Crema de leche merengada</t>
        </is>
      </c>
      <c r="B39" s="6" t="inlineStr">
        <is>
          <t>KG</t>
        </is>
      </c>
      <c r="C39" s="13" t="n">
        <v>0</v>
      </c>
      <c r="D39" s="13" t="n">
        <v>0</v>
      </c>
      <c r="E39" s="9">
        <f>SUMIF(Escandallos!$C$4:$C$324,A39,Escandallos!$G$4:$G$324)</f>
        <v/>
      </c>
      <c r="F39" s="9">
        <f>C39+D39-E39</f>
        <v/>
      </c>
      <c r="G39" s="13" t="n">
        <v>0</v>
      </c>
      <c r="H39" s="9">
        <f>G39-F39</f>
        <v/>
      </c>
      <c r="I39" s="14">
        <f>IFERROR(H39/F39,0)</f>
        <v/>
      </c>
      <c r="J39" s="15">
        <f>IF(ABS(I39)&gt;$B$2,"Revisar","")</f>
        <v/>
      </c>
    </row>
    <row r="40">
      <c r="A40" s="6" t="inlineStr">
        <is>
          <t>Almendra laminada</t>
        </is>
      </c>
      <c r="B40" s="16" t="inlineStr">
        <is>
          <t>L</t>
        </is>
      </c>
      <c r="C40" s="13" t="n">
        <v>0</v>
      </c>
      <c r="D40" s="13" t="n">
        <v>0</v>
      </c>
      <c r="E40" s="9">
        <f>SUMIF(Escandallos!$C$4:$C$324,A40,Escandallos!$G$4:$G$324)</f>
        <v/>
      </c>
      <c r="F40" s="9">
        <f>C40+D40-E40</f>
        <v/>
      </c>
      <c r="G40" s="13" t="n">
        <v>0</v>
      </c>
      <c r="H40" s="9">
        <f>G40-F40</f>
        <v/>
      </c>
      <c r="I40" s="14">
        <f>IFERROR(H40/F40,0)</f>
        <v/>
      </c>
      <c r="J40" s="15">
        <f>IF(ABS(I40)&gt;$B$2,"Revisar","")</f>
        <v/>
      </c>
    </row>
    <row r="41">
      <c r="A41" s="6" t="inlineStr">
        <is>
          <t>Azucar</t>
        </is>
      </c>
      <c r="B41" s="6" t="inlineStr">
        <is>
          <t>KG</t>
        </is>
      </c>
      <c r="C41" s="13" t="n">
        <v>0</v>
      </c>
      <c r="D41" s="13" t="n">
        <v>0</v>
      </c>
      <c r="E41" s="9">
        <f>SUMIF(Escandallos!$C$4:$C$324,A41,Escandallos!$G$4:$G$324)</f>
        <v/>
      </c>
      <c r="F41" s="9">
        <f>C41+D41-E41</f>
        <v/>
      </c>
      <c r="G41" s="13" t="n">
        <v>0</v>
      </c>
      <c r="H41" s="9">
        <f>G41-F41</f>
        <v/>
      </c>
      <c r="I41" s="14">
        <f>IFERROR(H41/F41,0)</f>
        <v/>
      </c>
      <c r="J41" s="15">
        <f>IF(ABS(I41)&gt;$B$2,"Revisar","")</f>
        <v/>
      </c>
    </row>
    <row r="42">
      <c r="A42" s="6" t="inlineStr">
        <is>
          <t>Yogur de granja natural</t>
        </is>
      </c>
      <c r="B42" s="6" t="inlineStr">
        <is>
          <t>KG</t>
        </is>
      </c>
      <c r="C42" s="13" t="n">
        <v>0</v>
      </c>
      <c r="D42" s="13" t="n">
        <v>0</v>
      </c>
      <c r="E42" s="9">
        <f>SUMIF(Escandallos!$C$4:$C$324,A42,Escandallos!$G$4:$G$324)</f>
        <v/>
      </c>
      <c r="F42" s="9">
        <f>C42+D42-E42</f>
        <v/>
      </c>
      <c r="G42" s="13" t="n">
        <v>0</v>
      </c>
      <c r="H42" s="9">
        <f>G42-F42</f>
        <v/>
      </c>
      <c r="I42" s="14">
        <f>IFERROR(H42/F42,0)</f>
        <v/>
      </c>
      <c r="J42" s="15">
        <f>IF(ABS(I42)&gt;$B$2,"Revisar","")</f>
        <v/>
      </c>
    </row>
    <row r="43">
      <c r="A43" s="6" t="inlineStr">
        <is>
          <t>Granola lady madrid</t>
        </is>
      </c>
      <c r="B43" s="6" t="inlineStr">
        <is>
          <t>KG</t>
        </is>
      </c>
      <c r="C43" s="13" t="n">
        <v>0</v>
      </c>
      <c r="D43" s="13" t="n">
        <v>0</v>
      </c>
      <c r="E43" s="9">
        <f>SUMIF(Escandallos!$C$4:$C$324,A43,Escandallos!$G$4:$G$324)</f>
        <v/>
      </c>
      <c r="F43" s="9">
        <f>C43+D43-E43</f>
        <v/>
      </c>
      <c r="G43" s="13" t="n">
        <v>0</v>
      </c>
      <c r="H43" s="9">
        <f>G43-F43</f>
        <v/>
      </c>
      <c r="I43" s="14">
        <f>IFERROR(H43/F43,0)</f>
        <v/>
      </c>
      <c r="J43" s="15">
        <f>IF(ABS(I43)&gt;$B$2,"Revisar","")</f>
        <v/>
      </c>
    </row>
    <row r="44">
      <c r="A44" s="6" t="inlineStr">
        <is>
          <t>Melocotón (Verano)</t>
        </is>
      </c>
      <c r="B44" s="6" t="inlineStr">
        <is>
          <t>KG</t>
        </is>
      </c>
      <c r="C44" s="13" t="n">
        <v>0</v>
      </c>
      <c r="D44" s="13" t="n">
        <v>0</v>
      </c>
      <c r="E44" s="9">
        <f>SUMIF(Escandallos!$C$4:$C$324,A44,Escandallos!$G$4:$G$324)</f>
        <v/>
      </c>
      <c r="F44" s="9">
        <f>C44+D44-E44</f>
        <v/>
      </c>
      <c r="G44" s="13" t="n">
        <v>0</v>
      </c>
      <c r="H44" s="9">
        <f>G44-F44</f>
        <v/>
      </c>
      <c r="I44" s="14">
        <f>IFERROR(H44/F44,0)</f>
        <v/>
      </c>
      <c r="J44" s="15">
        <f>IF(ABS(I44)&gt;$B$2,"Revisar","")</f>
        <v/>
      </c>
    </row>
    <row r="45">
      <c r="A45" s="6" t="inlineStr">
        <is>
          <t>Almendra tostada</t>
        </is>
      </c>
      <c r="B45" s="16" t="inlineStr">
        <is>
          <t>KG</t>
        </is>
      </c>
      <c r="C45" s="13" t="n">
        <v>0</v>
      </c>
      <c r="D45" s="13" t="n">
        <v>0</v>
      </c>
      <c r="E45" s="9">
        <f>SUMIF(Escandallos!$C$4:$C$324,A45,Escandallos!$G$4:$G$324)</f>
        <v/>
      </c>
      <c r="F45" s="9">
        <f>C45+D45-E45</f>
        <v/>
      </c>
      <c r="G45" s="13" t="n">
        <v>0</v>
      </c>
      <c r="H45" s="9">
        <f>G45-F45</f>
        <v/>
      </c>
      <c r="I45" s="14">
        <f>IFERROR(H45/F45,0)</f>
        <v/>
      </c>
      <c r="J45" s="15">
        <f>IF(ABS(I45)&gt;$B$2,"Revisar","")</f>
        <v/>
      </c>
    </row>
    <row r="46">
      <c r="A46" s="6" t="inlineStr">
        <is>
          <t>Pera asada</t>
        </is>
      </c>
      <c r="B46" s="6" t="inlineStr">
        <is>
          <t>KG</t>
        </is>
      </c>
      <c r="C46" s="13" t="n">
        <v>0</v>
      </c>
      <c r="D46" s="13" t="n">
        <v>0</v>
      </c>
      <c r="E46" s="9">
        <f>SUMIF(Escandallos!$C$4:$C$324,A46,Escandallos!$G$4:$G$324)</f>
        <v/>
      </c>
      <c r="F46" s="9">
        <f>C46+D46-E46</f>
        <v/>
      </c>
      <c r="G46" s="13" t="n">
        <v>0</v>
      </c>
      <c r="H46" s="9">
        <f>G46-F46</f>
        <v/>
      </c>
      <c r="I46" s="14">
        <f>IFERROR(H46/F46,0)</f>
        <v/>
      </c>
      <c r="J46" s="15">
        <f>IF(ABS(I46)&gt;$B$2,"Revisar","")</f>
        <v/>
      </c>
    </row>
    <row r="47">
      <c r="A47" s="6" t="inlineStr">
        <is>
          <t>Miel</t>
        </is>
      </c>
      <c r="B47" s="6" t="inlineStr">
        <is>
          <t>KG</t>
        </is>
      </c>
      <c r="C47" s="13" t="n">
        <v>0</v>
      </c>
      <c r="D47" s="13" t="n">
        <v>0</v>
      </c>
      <c r="E47" s="9">
        <f>SUMIF(Escandallos!$C$4:$C$324,A47,Escandallos!$G$4:$G$324)</f>
        <v/>
      </c>
      <c r="F47" s="9">
        <f>C47+D47-E47</f>
        <v/>
      </c>
      <c r="G47" s="13" t="n">
        <v>0</v>
      </c>
      <c r="H47" s="9">
        <f>G47-F47</f>
        <v/>
      </c>
      <c r="I47" s="14">
        <f>IFERROR(H47/F47,0)</f>
        <v/>
      </c>
      <c r="J47" s="15">
        <f>IF(ABS(I47)&gt;$B$2,"Revisar","")</f>
        <v/>
      </c>
    </row>
    <row r="48">
      <c r="A48" s="6" t="inlineStr">
        <is>
          <t>Fresas</t>
        </is>
      </c>
      <c r="B48" s="6" t="inlineStr">
        <is>
          <t>KG</t>
        </is>
      </c>
      <c r="C48" s="13" t="n">
        <v>0</v>
      </c>
      <c r="D48" s="13" t="n">
        <v>0</v>
      </c>
      <c r="E48" s="9">
        <f>SUMIF(Escandallos!$C$4:$C$324,A48,Escandallos!$G$4:$G$324)</f>
        <v/>
      </c>
      <c r="F48" s="9">
        <f>C48+D48-E48</f>
        <v/>
      </c>
      <c r="G48" s="13" t="n">
        <v>0</v>
      </c>
      <c r="H48" s="9">
        <f>G48-F48</f>
        <v/>
      </c>
      <c r="I48" s="14">
        <f>IFERROR(H48/F48,0)</f>
        <v/>
      </c>
      <c r="J48" s="15">
        <f>IF(ABS(I48)&gt;$B$2,"Revisar","")</f>
        <v/>
      </c>
    </row>
    <row r="49">
      <c r="A49" s="6" t="inlineStr">
        <is>
          <t>Manzana asada</t>
        </is>
      </c>
      <c r="B49" s="6" t="inlineStr">
        <is>
          <t>KG</t>
        </is>
      </c>
      <c r="C49" s="13" t="n">
        <v>0</v>
      </c>
      <c r="D49" s="13" t="n">
        <v>0</v>
      </c>
      <c r="E49" s="9">
        <f>SUMIF(Escandallos!$C$4:$C$324,A49,Escandallos!$G$4:$G$324)</f>
        <v/>
      </c>
      <c r="F49" s="9">
        <f>C49+D49-E49</f>
        <v/>
      </c>
      <c r="G49" s="13" t="n">
        <v>0</v>
      </c>
      <c r="H49" s="9">
        <f>G49-F49</f>
        <v/>
      </c>
      <c r="I49" s="14">
        <f>IFERROR(H49/F49,0)</f>
        <v/>
      </c>
      <c r="J49" s="15">
        <f>IF(ABS(I49)&gt;$B$2,"Revisar","")</f>
        <v/>
      </c>
    </row>
    <row r="50">
      <c r="A50" s="6" t="inlineStr">
        <is>
          <t>Canela</t>
        </is>
      </c>
      <c r="B50" s="6" t="inlineStr">
        <is>
          <t>KG</t>
        </is>
      </c>
      <c r="C50" s="13" t="n">
        <v>0</v>
      </c>
      <c r="D50" s="13" t="n">
        <v>0</v>
      </c>
      <c r="E50" s="9">
        <f>SUMIF(Escandallos!$C$4:$C$324,A50,Escandallos!$G$4:$G$324)</f>
        <v/>
      </c>
      <c r="F50" s="9">
        <f>C50+D50-E50</f>
        <v/>
      </c>
      <c r="G50" s="13" t="n">
        <v>0</v>
      </c>
      <c r="H50" s="9">
        <f>G50-F50</f>
        <v/>
      </c>
      <c r="I50" s="14">
        <f>IFERROR(H50/F50,0)</f>
        <v/>
      </c>
      <c r="J50" s="15">
        <f>IF(ABS(I50)&gt;$B$2,"Revisar","")</f>
        <v/>
      </c>
    </row>
    <row r="51">
      <c r="A51" s="6" t="inlineStr">
        <is>
          <t>Pan brioche para torrija</t>
        </is>
      </c>
      <c r="B51" s="6" t="inlineStr">
        <is>
          <t>KG</t>
        </is>
      </c>
      <c r="C51" s="13" t="n">
        <v>0</v>
      </c>
      <c r="D51" s="13" t="n">
        <v>0</v>
      </c>
      <c r="E51" s="9">
        <f>SUMIF(Escandallos!$C$4:$C$324,A51,Escandallos!$G$4:$G$324)</f>
        <v/>
      </c>
      <c r="F51" s="9">
        <f>C51+D51-E51</f>
        <v/>
      </c>
      <c r="G51" s="13" t="n">
        <v>0</v>
      </c>
      <c r="H51" s="9">
        <f>G51-F51</f>
        <v/>
      </c>
      <c r="I51" s="14">
        <f>IFERROR(H51/F51,0)</f>
        <v/>
      </c>
      <c r="J51" s="15">
        <f>IF(ABS(I51)&gt;$B$2,"Revisar","")</f>
        <v/>
      </c>
    </row>
    <row r="52">
      <c r="A52" s="6" t="inlineStr">
        <is>
          <t>Ralladura de limon</t>
        </is>
      </c>
      <c r="B52" s="6" t="inlineStr">
        <is>
          <t>KG</t>
        </is>
      </c>
      <c r="C52" s="13" t="n">
        <v>0</v>
      </c>
      <c r="D52" s="13" t="n">
        <v>0</v>
      </c>
      <c r="E52" s="9">
        <f>SUMIF(Escandallos!$C$4:$C$324,A52,Escandallos!$G$4:$G$324)</f>
        <v/>
      </c>
      <c r="F52" s="9">
        <f>C52+D52-E52</f>
        <v/>
      </c>
      <c r="G52" s="13" t="n">
        <v>0</v>
      </c>
      <c r="H52" s="9">
        <f>G52-F52</f>
        <v/>
      </c>
      <c r="I52" s="14">
        <f>IFERROR(H52/F52,0)</f>
        <v/>
      </c>
      <c r="J52" s="15">
        <f>IF(ABS(I52)&gt;$B$2,"Revisar","")</f>
        <v/>
      </c>
    </row>
    <row r="53">
      <c r="A53" s="6" t="inlineStr">
        <is>
          <t>Leche infusionada</t>
        </is>
      </c>
      <c r="B53" s="6" t="inlineStr">
        <is>
          <t>KG</t>
        </is>
      </c>
      <c r="C53" s="13" t="n">
        <v>0</v>
      </c>
      <c r="D53" s="13" t="n">
        <v>0</v>
      </c>
      <c r="E53" s="9">
        <f>SUMIF(Escandallos!$C$4:$C$324,A53,Escandallos!$G$4:$G$324)</f>
        <v/>
      </c>
      <c r="F53" s="9">
        <f>C53+D53-E53</f>
        <v/>
      </c>
      <c r="G53" s="13" t="n">
        <v>0</v>
      </c>
      <c r="H53" s="9">
        <f>G53-F53</f>
        <v/>
      </c>
      <c r="I53" s="14">
        <f>IFERROR(H53/F53,0)</f>
        <v/>
      </c>
      <c r="J53" s="15">
        <f>IF(ABS(I53)&gt;$B$2,"Revisar","")</f>
        <v/>
      </c>
    </row>
    <row r="54">
      <c r="A54" s="6" t="inlineStr">
        <is>
          <t>Crema de café</t>
        </is>
      </c>
      <c r="B54" s="6" t="inlineStr">
        <is>
          <t>KG</t>
        </is>
      </c>
      <c r="C54" s="13" t="n">
        <v>0</v>
      </c>
      <c r="D54" s="13" t="n">
        <v>0</v>
      </c>
      <c r="E54" s="9">
        <f>SUMIF(Escandallos!$C$4:$C$324,A54,Escandallos!$G$4:$G$324)</f>
        <v/>
      </c>
      <c r="F54" s="9">
        <f>C54+D54-E54</f>
        <v/>
      </c>
      <c r="G54" s="13" t="n">
        <v>0</v>
      </c>
      <c r="H54" s="9">
        <f>G54-F54</f>
        <v/>
      </c>
      <c r="I54" s="14">
        <f>IFERROR(H54/F54,0)</f>
        <v/>
      </c>
      <c r="J54" s="15">
        <f>IF(ABS(I54)&gt;$B$2,"Revisar","")</f>
        <v/>
      </c>
    </row>
    <row r="55">
      <c r="A55" s="6" t="inlineStr">
        <is>
          <t>cacao en polvo</t>
        </is>
      </c>
      <c r="B55" s="6" t="inlineStr">
        <is>
          <t>KG</t>
        </is>
      </c>
      <c r="C55" s="13" t="n">
        <v>0</v>
      </c>
      <c r="D55" s="13" t="n">
        <v>0</v>
      </c>
      <c r="E55" s="9">
        <f>SUMIF(Escandallos!$C$4:$C$324,A55,Escandallos!$G$4:$G$324)</f>
        <v/>
      </c>
      <c r="F55" s="9">
        <f>C55+D55-E55</f>
        <v/>
      </c>
      <c r="G55" s="13" t="n">
        <v>0</v>
      </c>
      <c r="H55" s="9">
        <f>G55-F55</f>
        <v/>
      </c>
      <c r="I55" s="14">
        <f>IFERROR(H55/F55,0)</f>
        <v/>
      </c>
      <c r="J55" s="15">
        <f>IF(ABS(I55)&gt;$B$2,"Revisar","")</f>
        <v/>
      </c>
    </row>
    <row r="56">
      <c r="A56" s="6" t="inlineStr">
        <is>
          <t>Crema de chocolate</t>
        </is>
      </c>
      <c r="B56" s="6" t="inlineStr">
        <is>
          <t>KG</t>
        </is>
      </c>
      <c r="C56" s="13" t="n">
        <v>0</v>
      </c>
      <c r="D56" s="13" t="n">
        <v>0</v>
      </c>
      <c r="E56" s="9">
        <f>SUMIF(Escandallos!$C$4:$C$324,A56,Escandallos!$G$4:$G$324)</f>
        <v/>
      </c>
      <c r="F56" s="9">
        <f>C56+D56-E56</f>
        <v/>
      </c>
      <c r="G56" s="13" t="n">
        <v>0</v>
      </c>
      <c r="H56" s="9">
        <f>G56-F56</f>
        <v/>
      </c>
      <c r="I56" s="14">
        <f>IFERROR(H56/F56,0)</f>
        <v/>
      </c>
      <c r="J56" s="15">
        <f>IF(ABS(I56)&gt;$B$2,"Revisar","")</f>
        <v/>
      </c>
    </row>
    <row r="57">
      <c r="A57" s="6" t="inlineStr">
        <is>
          <t>Brioche</t>
        </is>
      </c>
      <c r="B57" s="16" t="inlineStr">
        <is>
          <t>KG</t>
        </is>
      </c>
      <c r="C57" s="13" t="n">
        <v>0</v>
      </c>
      <c r="D57" s="13" t="n">
        <v>0</v>
      </c>
      <c r="E57" s="9">
        <f>SUMIF(Escandallos!$C$4:$C$324,A57,Escandallos!$G$4:$G$324)</f>
        <v/>
      </c>
      <c r="F57" s="9">
        <f>C57+D57-E57</f>
        <v/>
      </c>
      <c r="G57" s="13" t="n">
        <v>0</v>
      </c>
      <c r="H57" s="9">
        <f>G57-F57</f>
        <v/>
      </c>
      <c r="I57" s="14">
        <f>IFERROR(H57/F57,0)</f>
        <v/>
      </c>
      <c r="J57" s="15">
        <f>IF(ABS(I57)&gt;$B$2,"Revisar","")</f>
        <v/>
      </c>
    </row>
    <row r="58">
      <c r="A58" s="6" t="inlineStr">
        <is>
          <t>Tortilla de patata</t>
        </is>
      </c>
      <c r="B58" s="6" t="inlineStr">
        <is>
          <t>UNIDAD</t>
        </is>
      </c>
      <c r="C58" s="13" t="n">
        <v>0</v>
      </c>
      <c r="D58" s="13" t="n">
        <v>0</v>
      </c>
      <c r="E58" s="9">
        <f>SUMIF(Escandallos!$C$4:$C$324,A58,Escandallos!$G$4:$G$324)</f>
        <v/>
      </c>
      <c r="F58" s="9">
        <f>C58+D58-E58</f>
        <v/>
      </c>
      <c r="G58" s="13" t="n">
        <v>0</v>
      </c>
      <c r="H58" s="9">
        <f>G58-F58</f>
        <v/>
      </c>
      <c r="I58" s="14">
        <f>IFERROR(H58/F58,0)</f>
        <v/>
      </c>
      <c r="J58" s="15">
        <f>IF(ABS(I58)&gt;$B$2,"Revisar","")</f>
        <v/>
      </c>
    </row>
    <row r="59">
      <c r="A59" s="6" t="inlineStr">
        <is>
          <t>Espuma de queso guadarrama</t>
        </is>
      </c>
      <c r="B59" s="6" t="inlineStr">
        <is>
          <t>KG</t>
        </is>
      </c>
      <c r="C59" s="13" t="n">
        <v>0</v>
      </c>
      <c r="D59" s="13" t="n">
        <v>0</v>
      </c>
      <c r="E59" s="9">
        <f>SUMIF(Escandallos!$C$4:$C$324,A59,Escandallos!$G$4:$G$324)</f>
        <v/>
      </c>
      <c r="F59" s="9">
        <f>C59+D59-E59</f>
        <v/>
      </c>
      <c r="G59" s="13" t="n">
        <v>0</v>
      </c>
      <c r="H59" s="9">
        <f>G59-F59</f>
        <v/>
      </c>
      <c r="I59" s="14">
        <f>IFERROR(H59/F59,0)</f>
        <v/>
      </c>
      <c r="J59" s="15">
        <f>IF(ABS(I59)&gt;$B$2,"Revisar","")</f>
        <v/>
      </c>
    </row>
    <row r="60">
      <c r="A60" s="6" t="inlineStr">
        <is>
          <t>Cebollino fresco picado</t>
        </is>
      </c>
      <c r="B60" s="6" t="inlineStr">
        <is>
          <t>KG</t>
        </is>
      </c>
      <c r="C60" s="13" t="n">
        <v>0</v>
      </c>
      <c r="D60" s="13" t="n">
        <v>0</v>
      </c>
      <c r="E60" s="9">
        <f>SUMIF(Escandallos!$C$4:$C$324,A60,Escandallos!$G$4:$G$324)</f>
        <v/>
      </c>
      <c r="F60" s="9">
        <f>C60+D60-E60</f>
        <v/>
      </c>
      <c r="G60" s="13" t="n">
        <v>0</v>
      </c>
      <c r="H60" s="9">
        <f>G60-F60</f>
        <v/>
      </c>
      <c r="I60" s="14">
        <f>IFERROR(H60/F60,0)</f>
        <v/>
      </c>
      <c r="J60" s="15">
        <f>IF(ABS(I60)&gt;$B$2,"Revisar","")</f>
        <v/>
      </c>
    </row>
    <row r="61">
      <c r="A61" s="6" t="inlineStr">
        <is>
          <t>Papada ibérica confitada</t>
        </is>
      </c>
      <c r="B61" s="6" t="inlineStr">
        <is>
          <t>KG</t>
        </is>
      </c>
      <c r="C61" s="13" t="n">
        <v>0</v>
      </c>
      <c r="D61" s="13" t="n">
        <v>0</v>
      </c>
      <c r="E61" s="9">
        <f>SUMIF(Escandallos!$C$4:$C$324,A61,Escandallos!$G$4:$G$324)</f>
        <v/>
      </c>
      <c r="F61" s="9">
        <f>C61+D61-E61</f>
        <v/>
      </c>
      <c r="G61" s="13" t="n">
        <v>0</v>
      </c>
      <c r="H61" s="9">
        <f>G61-F61</f>
        <v/>
      </c>
      <c r="I61" s="14">
        <f>IFERROR(H61/F61,0)</f>
        <v/>
      </c>
      <c r="J61" s="15">
        <f>IF(ABS(I61)&gt;$B$2,"Revisar","")</f>
        <v/>
      </c>
    </row>
    <row r="62">
      <c r="A62" s="6" t="inlineStr">
        <is>
          <t>Pimiento rojo asado</t>
        </is>
      </c>
      <c r="B62" s="6" t="inlineStr">
        <is>
          <t>KG</t>
        </is>
      </c>
      <c r="C62" s="13" t="n">
        <v>0</v>
      </c>
      <c r="D62" s="13" t="n">
        <v>0</v>
      </c>
      <c r="E62" s="9">
        <f>SUMIF(Escandallos!$C$4:$C$324,A62,Escandallos!$G$4:$G$324)</f>
        <v/>
      </c>
      <c r="F62" s="9">
        <f>C62+D62-E62</f>
        <v/>
      </c>
      <c r="G62" s="13" t="n">
        <v>0</v>
      </c>
      <c r="H62" s="9">
        <f>G62-F62</f>
        <v/>
      </c>
      <c r="I62" s="14">
        <f>IFERROR(H62/F62,0)</f>
        <v/>
      </c>
      <c r="J62" s="15">
        <f>IF(ABS(I62)&gt;$B$2,"Revisar","")</f>
        <v/>
      </c>
    </row>
    <row r="63">
      <c r="A63" s="6" t="inlineStr">
        <is>
          <t>Piparras laminadas</t>
        </is>
      </c>
      <c r="B63" s="6" t="inlineStr">
        <is>
          <t>KG</t>
        </is>
      </c>
      <c r="C63" s="13" t="n">
        <v>0</v>
      </c>
      <c r="D63" s="13" t="n">
        <v>0</v>
      </c>
      <c r="E63" s="9">
        <f>SUMIF(Escandallos!$C$4:$C$324,A63,Escandallos!$G$4:$G$324)</f>
        <v/>
      </c>
      <c r="F63" s="9">
        <f>C63+D63-E63</f>
        <v/>
      </c>
      <c r="G63" s="13" t="n">
        <v>0</v>
      </c>
      <c r="H63" s="9">
        <f>G63-F63</f>
        <v/>
      </c>
      <c r="I63" s="14">
        <f>IFERROR(H63/F63,0)</f>
        <v/>
      </c>
      <c r="J63" s="15">
        <f>IF(ABS(I63)&gt;$B$2,"Revisar","")</f>
        <v/>
      </c>
    </row>
    <row r="64">
      <c r="A64" s="6" t="inlineStr">
        <is>
          <t>mouse de piparras</t>
        </is>
      </c>
      <c r="B64" s="6" t="inlineStr">
        <is>
          <t>0.05</t>
        </is>
      </c>
      <c r="C64" s="13" t="n">
        <v>0</v>
      </c>
      <c r="D64" s="13" t="n">
        <v>0</v>
      </c>
      <c r="E64" s="9">
        <f>SUMIF(Escandallos!$C$4:$C$324,A64,Escandallos!$G$4:$G$324)</f>
        <v/>
      </c>
      <c r="F64" s="9">
        <f>C64+D64-E64</f>
        <v/>
      </c>
      <c r="G64" s="13" t="n">
        <v>0</v>
      </c>
      <c r="H64" s="9">
        <f>G64-F64</f>
        <v/>
      </c>
      <c r="I64" s="14">
        <f>IFERROR(H64/F64,0)</f>
        <v/>
      </c>
      <c r="J64" s="15">
        <f>IF(ABS(I64)&gt;$B$2,"Revisar","")</f>
        <v/>
      </c>
    </row>
    <row r="65">
      <c r="A65" s="6" t="inlineStr">
        <is>
          <t>Jamón cocido</t>
        </is>
      </c>
      <c r="B65" s="6" t="inlineStr">
        <is>
          <t>KG</t>
        </is>
      </c>
      <c r="C65" s="13" t="n">
        <v>0</v>
      </c>
      <c r="D65" s="13" t="n">
        <v>0</v>
      </c>
      <c r="E65" s="9">
        <f>SUMIF(Escandallos!$C$4:$C$324,A65,Escandallos!$G$4:$G$324)</f>
        <v/>
      </c>
      <c r="F65" s="9">
        <f>C65+D65-E65</f>
        <v/>
      </c>
      <c r="G65" s="13" t="n">
        <v>0</v>
      </c>
      <c r="H65" s="9">
        <f>G65-F65</f>
        <v/>
      </c>
      <c r="I65" s="14">
        <f>IFERROR(H65/F65,0)</f>
        <v/>
      </c>
      <c r="J65" s="15">
        <f>IF(ABS(I65)&gt;$B$2,"Revisar","")</f>
        <v/>
      </c>
    </row>
    <row r="66">
      <c r="A66" s="6" t="inlineStr">
        <is>
          <t>Queso havarti</t>
        </is>
      </c>
      <c r="B66" s="6" t="inlineStr">
        <is>
          <t>L</t>
        </is>
      </c>
      <c r="C66" s="13" t="n">
        <v>0</v>
      </c>
      <c r="D66" s="13" t="n">
        <v>0</v>
      </c>
      <c r="E66" s="9">
        <f>SUMIF(Escandallos!$C$4:$C$324,A66,Escandallos!$G$4:$G$324)</f>
        <v/>
      </c>
      <c r="F66" s="9">
        <f>C66+D66-E66</f>
        <v/>
      </c>
      <c r="G66" s="13" t="n">
        <v>0</v>
      </c>
      <c r="H66" s="9">
        <f>G66-F66</f>
        <v/>
      </c>
      <c r="I66" s="14">
        <f>IFERROR(H66/F66,0)</f>
        <v/>
      </c>
      <c r="J66" s="15">
        <f>IF(ABS(I66)&gt;$B$2,"Revisar","")</f>
        <v/>
      </c>
    </row>
    <row r="67">
      <c r="A67" s="6" t="inlineStr">
        <is>
          <t>Mantequilla</t>
        </is>
      </c>
      <c r="B67" s="6" t="inlineStr">
        <is>
          <t>KG</t>
        </is>
      </c>
      <c r="C67" s="13" t="n">
        <v>0</v>
      </c>
      <c r="D67" s="13" t="n">
        <v>0</v>
      </c>
      <c r="E67" s="9">
        <f>SUMIF(Escandallos!$C$4:$C$324,A67,Escandallos!$G$4:$G$324)</f>
        <v/>
      </c>
      <c r="F67" s="9">
        <f>C67+D67-E67</f>
        <v/>
      </c>
      <c r="G67" s="13" t="n">
        <v>0</v>
      </c>
      <c r="H67" s="9">
        <f>G67-F67</f>
        <v/>
      </c>
      <c r="I67" s="14">
        <f>IFERROR(H67/F67,0)</f>
        <v/>
      </c>
      <c r="J67" s="15">
        <f>IF(ABS(I67)&gt;$B$2,"Revisar","")</f>
        <v/>
      </c>
    </row>
    <row r="68">
      <c r="A68" s="6" t="inlineStr">
        <is>
          <t>Cebolla encurtida</t>
        </is>
      </c>
      <c r="B68" s="6" t="inlineStr">
        <is>
          <t>KG</t>
        </is>
      </c>
      <c r="C68" s="13" t="n">
        <v>0</v>
      </c>
      <c r="D68" s="13" t="n">
        <v>0</v>
      </c>
      <c r="E68" s="9">
        <f>SUMIF(Escandallos!$C$4:$C$324,A68,Escandallos!$G$4:$G$324)</f>
        <v/>
      </c>
      <c r="F68" s="9">
        <f>C68+D68-E68</f>
        <v/>
      </c>
      <c r="G68" s="13" t="n">
        <v>0</v>
      </c>
      <c r="H68" s="9">
        <f>G68-F68</f>
        <v/>
      </c>
      <c r="I68" s="14">
        <f>IFERROR(H68/F68,0)</f>
        <v/>
      </c>
      <c r="J68" s="15">
        <f>IF(ABS(I68)&gt;$B$2,"Revisar","")</f>
        <v/>
      </c>
    </row>
    <row r="69">
      <c r="A69" s="6" t="inlineStr">
        <is>
          <t>Pepinillos</t>
        </is>
      </c>
      <c r="B69" s="6" t="inlineStr">
        <is>
          <t>KG</t>
        </is>
      </c>
      <c r="C69" s="13" t="n">
        <v>0</v>
      </c>
      <c r="D69" s="13" t="n">
        <v>0</v>
      </c>
      <c r="E69" s="9">
        <f>SUMIF(Escandallos!$C$4:$C$324,A69,Escandallos!$G$4:$G$324)</f>
        <v/>
      </c>
      <c r="F69" s="9">
        <f>C69+D69-E69</f>
        <v/>
      </c>
      <c r="G69" s="13" t="n">
        <v>0</v>
      </c>
      <c r="H69" s="9">
        <f>G69-F69</f>
        <v/>
      </c>
      <c r="I69" s="14">
        <f>IFERROR(H69/F69,0)</f>
        <v/>
      </c>
      <c r="J69" s="15">
        <f>IF(ABS(I69)&gt;$B$2,"Revisar","")</f>
        <v/>
      </c>
    </row>
    <row r="70">
      <c r="A70" s="6" t="inlineStr">
        <is>
          <t>Mostaza</t>
        </is>
      </c>
      <c r="B70" s="6" t="inlineStr">
        <is>
          <t>KG</t>
        </is>
      </c>
      <c r="C70" s="13" t="n">
        <v>0</v>
      </c>
      <c r="D70" s="13" t="n">
        <v>0</v>
      </c>
      <c r="E70" s="9">
        <f>SUMIF(Escandallos!$C$4:$C$324,A70,Escandallos!$G$4:$G$324)</f>
        <v/>
      </c>
      <c r="F70" s="9">
        <f>C70+D70-E70</f>
        <v/>
      </c>
      <c r="G70" s="13" t="n">
        <v>0</v>
      </c>
      <c r="H70" s="9">
        <f>G70-F70</f>
        <v/>
      </c>
      <c r="I70" s="14">
        <f>IFERROR(H70/F70,0)</f>
        <v/>
      </c>
      <c r="J70" s="15">
        <f>IF(ABS(I70)&gt;$B$2,"Revisar","")</f>
        <v/>
      </c>
    </row>
    <row r="71">
      <c r="A71" s="6" t="inlineStr">
        <is>
          <t>Ternera cocinada</t>
        </is>
      </c>
      <c r="B71" s="6" t="inlineStr">
        <is>
          <t>KG</t>
        </is>
      </c>
      <c r="C71" s="13" t="n">
        <v>0</v>
      </c>
      <c r="D71" s="13" t="n">
        <v>0</v>
      </c>
      <c r="E71" s="9">
        <f>SUMIF(Escandallos!$C$4:$C$324,A71,Escandallos!$G$4:$G$324)</f>
        <v/>
      </c>
      <c r="F71" s="9">
        <f>C71+D71-E71</f>
        <v/>
      </c>
      <c r="G71" s="13" t="n">
        <v>0</v>
      </c>
      <c r="H71" s="9">
        <f>G71-F71</f>
        <v/>
      </c>
      <c r="I71" s="14">
        <f>IFERROR(H71/F71,0)</f>
        <v/>
      </c>
      <c r="J71" s="15">
        <f>IF(ABS(I71)&gt;$B$2,"Revisar","")</f>
        <v/>
      </c>
    </row>
    <row r="72">
      <c r="A72" s="6" t="inlineStr">
        <is>
          <t>Brioche rebanado</t>
        </is>
      </c>
      <c r="B72" s="6" t="inlineStr">
        <is>
          <t>KG</t>
        </is>
      </c>
      <c r="C72" s="13" t="n">
        <v>0</v>
      </c>
      <c r="D72" s="13" t="n">
        <v>0</v>
      </c>
      <c r="E72" s="9">
        <f>SUMIF(Escandallos!$C$4:$C$324,A72,Escandallos!$G$4:$G$324)</f>
        <v/>
      </c>
      <c r="F72" s="9">
        <f>C72+D72-E72</f>
        <v/>
      </c>
      <c r="G72" s="13" t="n">
        <v>0</v>
      </c>
      <c r="H72" s="9">
        <f>G72-F72</f>
        <v/>
      </c>
      <c r="I72" s="14">
        <f>IFERROR(H72/F72,0)</f>
        <v/>
      </c>
      <c r="J72" s="15">
        <f>IF(ABS(I72)&gt;$B$2,"Revisar","")</f>
        <v/>
      </c>
    </row>
    <row r="73">
      <c r="A73" s="6" t="inlineStr">
        <is>
          <t>Mantequilla ahumada</t>
        </is>
      </c>
      <c r="B73" s="6" t="inlineStr">
        <is>
          <t>KG</t>
        </is>
      </c>
      <c r="C73" s="13" t="n">
        <v>0</v>
      </c>
      <c r="D73" s="13" t="n">
        <v>0</v>
      </c>
      <c r="E73" s="9">
        <f>SUMIF(Escandallos!$C$4:$C$324,A73,Escandallos!$G$4:$G$324)</f>
        <v/>
      </c>
      <c r="F73" s="9">
        <f>C73+D73-E73</f>
        <v/>
      </c>
      <c r="G73" s="13" t="n">
        <v>0</v>
      </c>
      <c r="H73" s="9">
        <f>G73-F73</f>
        <v/>
      </c>
      <c r="I73" s="14">
        <f>IFERROR(H73/F73,0)</f>
        <v/>
      </c>
      <c r="J73" s="15">
        <f>IF(ABS(I73)&gt;$B$2,"Revisar","")</f>
        <v/>
      </c>
    </row>
    <row r="74">
      <c r="A74" s="6" t="inlineStr">
        <is>
          <t>Anchoa del cantabrico</t>
        </is>
      </c>
      <c r="B74" s="6" t="inlineStr">
        <is>
          <t>KG</t>
        </is>
      </c>
      <c r="C74" s="13" t="n">
        <v>0</v>
      </c>
      <c r="D74" s="13" t="n">
        <v>0</v>
      </c>
      <c r="E74" s="9">
        <f>SUMIF(Escandallos!$C$4:$C$324,A74,Escandallos!$G$4:$G$324)</f>
        <v/>
      </c>
      <c r="F74" s="9">
        <f>C74+D74-E74</f>
        <v/>
      </c>
      <c r="G74" s="13" t="n">
        <v>0</v>
      </c>
      <c r="H74" s="9">
        <f>G74-F74</f>
        <v/>
      </c>
      <c r="I74" s="14">
        <f>IFERROR(H74/F74,0)</f>
        <v/>
      </c>
      <c r="J74" s="15">
        <f>IF(ABS(I74)&gt;$B$2,"Revisar","")</f>
        <v/>
      </c>
    </row>
    <row r="75">
      <c r="A75" s="6" t="inlineStr">
        <is>
          <t>Queso de cabra de guadarrama</t>
        </is>
      </c>
      <c r="B75" s="6" t="inlineStr">
        <is>
          <t>KG</t>
        </is>
      </c>
      <c r="C75" s="13" t="n">
        <v>0</v>
      </c>
      <c r="D75" s="13" t="n">
        <v>0</v>
      </c>
      <c r="E75" s="9">
        <f>SUMIF(Escandallos!$C$4:$C$324,A75,Escandallos!$G$4:$G$324)</f>
        <v/>
      </c>
      <c r="F75" s="9">
        <f>C75+D75-E75</f>
        <v/>
      </c>
      <c r="G75" s="13" t="n">
        <v>0</v>
      </c>
      <c r="H75" s="9">
        <f>G75-F75</f>
        <v/>
      </c>
      <c r="I75" s="14">
        <f>IFERROR(H75/F75,0)</f>
        <v/>
      </c>
      <c r="J75" s="15">
        <f>IF(ABS(I75)&gt;$B$2,"Revisar","")</f>
        <v/>
      </c>
    </row>
    <row r="76">
      <c r="A76" s="6" t="inlineStr">
        <is>
          <t>Queso de oveja semicurado</t>
        </is>
      </c>
      <c r="B76" s="6" t="inlineStr">
        <is>
          <t>KG</t>
        </is>
      </c>
      <c r="C76" s="13" t="n">
        <v>0</v>
      </c>
      <c r="D76" s="13" t="n">
        <v>0</v>
      </c>
      <c r="E76" s="9">
        <f>SUMIF(Escandallos!$C$4:$C$324,A76,Escandallos!$G$4:$G$324)</f>
        <v/>
      </c>
      <c r="F76" s="9">
        <f>C76+D76-E76</f>
        <v/>
      </c>
      <c r="G76" s="13" t="n">
        <v>0</v>
      </c>
      <c r="H76" s="9">
        <f>G76-F76</f>
        <v/>
      </c>
      <c r="I76" s="14">
        <f>IFERROR(H76/F76,0)</f>
        <v/>
      </c>
      <c r="J76" s="15">
        <f>IF(ABS(I76)&gt;$B$2,"Revisar","")</f>
        <v/>
      </c>
    </row>
    <row r="77">
      <c r="A77" s="6" t="inlineStr">
        <is>
          <t>membrillo</t>
        </is>
      </c>
      <c r="B77" s="6" t="inlineStr">
        <is>
          <t>KG</t>
        </is>
      </c>
      <c r="C77" s="13" t="n">
        <v>0</v>
      </c>
      <c r="D77" s="13" t="n">
        <v>0</v>
      </c>
      <c r="E77" s="9">
        <f>SUMIF(Escandallos!$C$4:$C$324,A77,Escandallos!$G$4:$G$324)</f>
        <v/>
      </c>
      <c r="F77" s="9">
        <f>C77+D77-E77</f>
        <v/>
      </c>
      <c r="G77" s="13" t="n">
        <v>0</v>
      </c>
      <c r="H77" s="9">
        <f>G77-F77</f>
        <v/>
      </c>
      <c r="I77" s="14">
        <f>IFERROR(H77/F77,0)</f>
        <v/>
      </c>
      <c r="J77" s="15">
        <f>IF(ABS(I77)&gt;$B$2,"Revisar","")</f>
        <v/>
      </c>
    </row>
    <row r="78">
      <c r="A78" s="6" t="inlineStr">
        <is>
          <t>Pan masa madre cortado</t>
        </is>
      </c>
      <c r="B78" s="6" t="inlineStr">
        <is>
          <t>KG</t>
        </is>
      </c>
      <c r="C78" s="13" t="n">
        <v>0</v>
      </c>
      <c r="D78" s="13" t="n">
        <v>0</v>
      </c>
      <c r="E78" s="9">
        <f>SUMIF(Escandallos!$C$4:$C$324,A78,Escandallos!$G$4:$G$324)</f>
        <v/>
      </c>
      <c r="F78" s="9">
        <f>C78+D78-E78</f>
        <v/>
      </c>
      <c r="G78" s="13" t="n">
        <v>0</v>
      </c>
      <c r="H78" s="9">
        <f>G78-F78</f>
        <v/>
      </c>
      <c r="I78" s="14">
        <f>IFERROR(H78/F78,0)</f>
        <v/>
      </c>
      <c r="J78" s="15">
        <f>IF(ABS(I78)&gt;$B$2,"Revisar","")</f>
        <v/>
      </c>
    </row>
    <row r="79">
      <c r="A79" s="6" t="inlineStr">
        <is>
          <t>Porción tortilla de patata</t>
        </is>
      </c>
      <c r="B79" s="6" t="inlineStr">
        <is>
          <t>KG</t>
        </is>
      </c>
      <c r="C79" s="13" t="n">
        <v>0</v>
      </c>
      <c r="D79" s="13" t="n">
        <v>0</v>
      </c>
      <c r="E79" s="9">
        <f>SUMIF(Escandallos!$C$4:$C$324,A79,Escandallos!$G$4:$G$324)</f>
        <v/>
      </c>
      <c r="F79" s="9">
        <f>C79+D79-E79</f>
        <v/>
      </c>
      <c r="G79" s="13" t="n">
        <v>0</v>
      </c>
      <c r="H79" s="9">
        <f>G79-F79</f>
        <v/>
      </c>
      <c r="I79" s="14">
        <f>IFERROR(H79/F79,0)</f>
        <v/>
      </c>
      <c r="J79" s="15">
        <f>IF(ABS(I79)&gt;$B$2,"Revisar","")</f>
        <v/>
      </c>
    </row>
    <row r="80">
      <c r="A80" s="6" t="inlineStr">
        <is>
          <t>espuma de queso de guadarrama</t>
        </is>
      </c>
      <c r="B80" s="6" t="inlineStr">
        <is>
          <t>KG</t>
        </is>
      </c>
      <c r="C80" s="13" t="n">
        <v>0</v>
      </c>
      <c r="D80" s="13" t="n">
        <v>0</v>
      </c>
      <c r="E80" s="9">
        <f>SUMIF(Escandallos!$C$4:$C$324,A80,Escandallos!$G$4:$G$324)</f>
        <v/>
      </c>
      <c r="F80" s="9">
        <f>C80+D80-E80</f>
        <v/>
      </c>
      <c r="G80" s="13" t="n">
        <v>0</v>
      </c>
      <c r="H80" s="9">
        <f>G80-F80</f>
        <v/>
      </c>
      <c r="I80" s="14">
        <f>IFERROR(H80/F80,0)</f>
        <v/>
      </c>
      <c r="J80" s="15">
        <f>IF(ABS(I80)&gt;$B$2,"Revisar","")</f>
        <v/>
      </c>
    </row>
    <row r="81">
      <c r="A81" s="6" t="inlineStr">
        <is>
          <t>piparras</t>
        </is>
      </c>
      <c r="B81" s="6" t="inlineStr">
        <is>
          <t>KG</t>
        </is>
      </c>
      <c r="C81" s="13" t="n">
        <v>0</v>
      </c>
      <c r="D81" s="13" t="n">
        <v>0</v>
      </c>
      <c r="E81" s="9">
        <f>SUMIF(Escandallos!$C$4:$C$324,A81,Escandallos!$G$4:$G$324)</f>
        <v/>
      </c>
      <c r="F81" s="9">
        <f>C81+D81-E81</f>
        <v/>
      </c>
      <c r="G81" s="13" t="n">
        <v>0</v>
      </c>
      <c r="H81" s="9">
        <f>G81-F81</f>
        <v/>
      </c>
      <c r="I81" s="14">
        <f>IFERROR(H81/F81,0)</f>
        <v/>
      </c>
      <c r="J81" s="15">
        <f>IF(ABS(I81)&gt;$B$2,"Revisar","")</f>
        <v/>
      </c>
    </row>
    <row r="82">
      <c r="A82" s="6" t="inlineStr">
        <is>
          <t>4 Gildas</t>
        </is>
      </c>
      <c r="B82" s="6" t="inlineStr">
        <is>
          <t>KG</t>
        </is>
      </c>
      <c r="C82" s="13" t="n">
        <v>0</v>
      </c>
      <c r="D82" s="13" t="n">
        <v>0</v>
      </c>
      <c r="E82" s="9">
        <f>SUMIF(Escandallos!$C$4:$C$324,A82,Escandallos!$G$4:$G$324)</f>
        <v/>
      </c>
      <c r="F82" s="9">
        <f>C82+D82-E82</f>
        <v/>
      </c>
      <c r="G82" s="13" t="n">
        <v>0</v>
      </c>
      <c r="H82" s="9">
        <f>G82-F82</f>
        <v/>
      </c>
      <c r="I82" s="14">
        <f>IFERROR(H82/F82,0)</f>
        <v/>
      </c>
      <c r="J82" s="15">
        <f>IF(ABS(I82)&gt;$B$2,"Revisar","")</f>
        <v/>
      </c>
    </row>
    <row r="83">
      <c r="A83" s="6" t="inlineStr">
        <is>
          <t>Tomate confitado</t>
        </is>
      </c>
      <c r="B83" s="6" t="inlineStr">
        <is>
          <t>KG</t>
        </is>
      </c>
      <c r="C83" s="13" t="n">
        <v>0</v>
      </c>
      <c r="D83" s="13" t="n">
        <v>0</v>
      </c>
      <c r="E83" s="9">
        <f>SUMIF(Escandallos!$C$4:$C$324,A83,Escandallos!$G$4:$G$324)</f>
        <v/>
      </c>
      <c r="F83" s="9">
        <f>C83+D83-E83</f>
        <v/>
      </c>
      <c r="G83" s="13" t="n">
        <v>0</v>
      </c>
      <c r="H83" s="9">
        <f>G83-F83</f>
        <v/>
      </c>
      <c r="I83" s="14">
        <f>IFERROR(H83/F83,0)</f>
        <v/>
      </c>
      <c r="J83" s="15">
        <f>IF(ABS(I83)&gt;$B$2,"Revisar","")</f>
        <v/>
      </c>
    </row>
    <row r="84">
      <c r="A84" s="6" t="inlineStr">
        <is>
          <t>Filetes de anchoa</t>
        </is>
      </c>
      <c r="B84" s="6" t="inlineStr">
        <is>
          <t>KG</t>
        </is>
      </c>
      <c r="C84" s="13" t="n">
        <v>0</v>
      </c>
      <c r="D84" s="13" t="n">
        <v>0</v>
      </c>
      <c r="E84" s="9">
        <f>SUMIF(Escandallos!$C$4:$C$324,A84,Escandallos!$G$4:$G$324)</f>
        <v/>
      </c>
      <c r="F84" s="9">
        <f>C84+D84-E84</f>
        <v/>
      </c>
      <c r="G84" s="13" t="n">
        <v>0</v>
      </c>
      <c r="H84" s="9">
        <f>G84-F84</f>
        <v/>
      </c>
      <c r="I84" s="14">
        <f>IFERROR(H84/F84,0)</f>
        <v/>
      </c>
      <c r="J84" s="15">
        <f>IF(ABS(I84)&gt;$B$2,"Revisar","")</f>
        <v/>
      </c>
    </row>
    <row r="85">
      <c r="A85" s="6" t="inlineStr">
        <is>
          <t>Pimienta</t>
        </is>
      </c>
      <c r="B85" s="6" t="inlineStr">
        <is>
          <t>KG</t>
        </is>
      </c>
      <c r="C85" s="13" t="n">
        <v>0</v>
      </c>
      <c r="D85" s="13" t="n">
        <v>0</v>
      </c>
      <c r="E85" s="9">
        <f>SUMIF(Escandallos!$C$4:$C$324,A85,Escandallos!$G$4:$G$324)</f>
        <v/>
      </c>
      <c r="F85" s="9">
        <f>C85+D85-E85</f>
        <v/>
      </c>
      <c r="G85" s="13" t="n">
        <v>0</v>
      </c>
      <c r="H85" s="9">
        <f>G85-F85</f>
        <v/>
      </c>
      <c r="I85" s="14">
        <f>IFERROR(H85/F85,0)</f>
        <v/>
      </c>
      <c r="J85" s="15">
        <f>IF(ABS(I85)&gt;$B$2,"Revisar","")</f>
        <v/>
      </c>
    </row>
    <row r="86">
      <c r="A86" s="6" t="inlineStr">
        <is>
          <t>Pan masa madre tostado</t>
        </is>
      </c>
      <c r="B86" s="6" t="inlineStr">
        <is>
          <t>KG</t>
        </is>
      </c>
      <c r="C86" s="13" t="n">
        <v>0</v>
      </c>
      <c r="D86" s="13" t="n">
        <v>0</v>
      </c>
      <c r="E86" s="9">
        <f>SUMIF(Escandallos!$C$4:$C$324,A86,Escandallos!$G$4:$G$324)</f>
        <v/>
      </c>
      <c r="F86" s="9">
        <f>C86+D86-E86</f>
        <v/>
      </c>
      <c r="G86" s="13" t="n">
        <v>0</v>
      </c>
      <c r="H86" s="9">
        <f>G86-F86</f>
        <v/>
      </c>
      <c r="I86" s="14">
        <f>IFERROR(H86/F86,0)</f>
        <v/>
      </c>
      <c r="J86" s="15">
        <f>IF(ABS(I86)&gt;$B$2,"Revisar","")</f>
        <v/>
      </c>
    </row>
    <row r="87">
      <c r="A87" s="6" t="inlineStr">
        <is>
          <t>Pisto caliente</t>
        </is>
      </c>
      <c r="B87" s="6" t="inlineStr">
        <is>
          <t>KG</t>
        </is>
      </c>
      <c r="C87" s="13" t="n">
        <v>0</v>
      </c>
      <c r="D87" s="13" t="n">
        <v>0</v>
      </c>
      <c r="E87" s="9">
        <f>SUMIF(Escandallos!$C$4:$C$324,A87,Escandallos!$G$4:$G$324)</f>
        <v/>
      </c>
      <c r="F87" s="9">
        <f>C87+D87-E87</f>
        <v/>
      </c>
      <c r="G87" s="13" t="n">
        <v>0</v>
      </c>
      <c r="H87" s="9">
        <f>G87-F87</f>
        <v/>
      </c>
      <c r="I87" s="14">
        <f>IFERROR(H87/F87,0)</f>
        <v/>
      </c>
      <c r="J87" s="15">
        <f>IF(ABS(I87)&gt;$B$2,"Revisar","")</f>
        <v/>
      </c>
    </row>
    <row r="88">
      <c r="A88" s="6" t="inlineStr">
        <is>
          <t>Pan tostado</t>
        </is>
      </c>
      <c r="B88" s="6" t="inlineStr">
        <is>
          <t>L</t>
        </is>
      </c>
      <c r="C88" s="13" t="n">
        <v>0</v>
      </c>
      <c r="D88" s="13" t="n">
        <v>0</v>
      </c>
      <c r="E88" s="9">
        <f>SUMIF(Escandallos!$C$4:$C$324,A88,Escandallos!$G$4:$G$324)</f>
        <v/>
      </c>
      <c r="F88" s="9">
        <f>C88+D88-E88</f>
        <v/>
      </c>
      <c r="G88" s="13" t="n">
        <v>0</v>
      </c>
      <c r="H88" s="9">
        <f>G88-F88</f>
        <v/>
      </c>
      <c r="I88" s="14">
        <f>IFERROR(H88/F88,0)</f>
        <v/>
      </c>
      <c r="J88" s="15">
        <f>IF(ABS(I88)&gt;$B$2,"Revisar","")</f>
        <v/>
      </c>
    </row>
    <row r="89">
      <c r="A89" s="6" t="inlineStr">
        <is>
          <t>Melocotón fresco</t>
        </is>
      </c>
      <c r="B89" s="6" t="inlineStr">
        <is>
          <t>KG</t>
        </is>
      </c>
      <c r="C89" s="13" t="n">
        <v>0</v>
      </c>
      <c r="D89" s="13" t="n">
        <v>0</v>
      </c>
      <c r="E89" s="9">
        <f>SUMIF(Escandallos!$C$4:$C$324,A89,Escandallos!$G$4:$G$324)</f>
        <v/>
      </c>
      <c r="F89" s="9">
        <f>C89+D89-E89</f>
        <v/>
      </c>
      <c r="G89" s="13" t="n">
        <v>0</v>
      </c>
      <c r="H89" s="9">
        <f>G89-F89</f>
        <v/>
      </c>
      <c r="I89" s="14">
        <f>IFERROR(H89/F89,0)</f>
        <v/>
      </c>
      <c r="J89" s="15">
        <f>IF(ABS(I89)&gt;$B$2,"Revisar","")</f>
        <v/>
      </c>
    </row>
    <row r="90">
      <c r="A90" s="6" t="inlineStr">
        <is>
          <t>Tomate verde</t>
        </is>
      </c>
      <c r="B90" s="6" t="inlineStr">
        <is>
          <t>KG</t>
        </is>
      </c>
      <c r="C90" s="13" t="n">
        <v>0</v>
      </c>
      <c r="D90" s="13" t="n">
        <v>0</v>
      </c>
      <c r="E90" s="9">
        <f>SUMIF(Escandallos!$C$4:$C$324,A90,Escandallos!$G$4:$G$324)</f>
        <v/>
      </c>
      <c r="F90" s="9">
        <f>C90+D90-E90</f>
        <v/>
      </c>
      <c r="G90" s="13" t="n">
        <v>0</v>
      </c>
      <c r="H90" s="9">
        <f>G90-F90</f>
        <v/>
      </c>
      <c r="I90" s="14">
        <f>IFERROR(H90/F90,0)</f>
        <v/>
      </c>
      <c r="J90" s="15">
        <f>IF(ABS(I90)&gt;$B$2,"Revisar","")</f>
        <v/>
      </c>
    </row>
    <row r="91">
      <c r="A91" s="6" t="inlineStr">
        <is>
          <t>Mezcla de hojas tiernas</t>
        </is>
      </c>
      <c r="B91" s="6" t="inlineStr">
        <is>
          <t>KG</t>
        </is>
      </c>
      <c r="C91" s="13" t="n">
        <v>0</v>
      </c>
      <c r="D91" s="13" t="n">
        <v>0</v>
      </c>
      <c r="E91" s="9">
        <f>SUMIF(Escandallos!$C$4:$C$324,A91,Escandallos!$G$4:$G$324)</f>
        <v/>
      </c>
      <c r="F91" s="9">
        <f>C91+D91-E91</f>
        <v/>
      </c>
      <c r="G91" s="13" t="n">
        <v>0</v>
      </c>
      <c r="H91" s="9">
        <f>G91-F91</f>
        <v/>
      </c>
      <c r="I91" s="14">
        <f>IFERROR(H91/F91,0)</f>
        <v/>
      </c>
      <c r="J91" s="15">
        <f>IF(ABS(I91)&gt;$B$2,"Revisar","")</f>
        <v/>
      </c>
    </row>
    <row r="92">
      <c r="A92" s="6" t="inlineStr">
        <is>
          <t>Vinagreta de miel y limón</t>
        </is>
      </c>
      <c r="B92" s="6" t="inlineStr">
        <is>
          <t>KG</t>
        </is>
      </c>
      <c r="C92" s="13" t="n">
        <v>0</v>
      </c>
      <c r="D92" s="13" t="n">
        <v>0</v>
      </c>
      <c r="E92" s="9">
        <f>SUMIF(Escandallos!$C$4:$C$324,A92,Escandallos!$G$4:$G$324)</f>
        <v/>
      </c>
      <c r="F92" s="9">
        <f>C92+D92-E92</f>
        <v/>
      </c>
      <c r="G92" s="13" t="n">
        <v>0</v>
      </c>
      <c r="H92" s="9">
        <f>G92-F92</f>
        <v/>
      </c>
      <c r="I92" s="14">
        <f>IFERROR(H92/F92,0)</f>
        <v/>
      </c>
      <c r="J92" s="15">
        <f>IF(ABS(I92)&gt;$B$2,"Revisar","")</f>
        <v/>
      </c>
    </row>
    <row r="93">
      <c r="A93" s="6" t="inlineStr">
        <is>
          <t>Escarola</t>
        </is>
      </c>
      <c r="B93" s="6" t="inlineStr">
        <is>
          <t>KG</t>
        </is>
      </c>
      <c r="C93" s="13" t="n">
        <v>0</v>
      </c>
      <c r="D93" s="13" t="n">
        <v>0</v>
      </c>
      <c r="E93" s="9">
        <f>SUMIF(Escandallos!$C$4:$C$324,A93,Escandallos!$G$4:$G$324)</f>
        <v/>
      </c>
      <c r="F93" s="9">
        <f>C93+D93-E93</f>
        <v/>
      </c>
      <c r="G93" s="13" t="n">
        <v>0</v>
      </c>
      <c r="H93" s="9">
        <f>G93-F93</f>
        <v/>
      </c>
      <c r="I93" s="14">
        <f>IFERROR(H93/F93,0)</f>
        <v/>
      </c>
      <c r="J93" s="15">
        <f>IF(ABS(I93)&gt;$B$2,"Revisar","")</f>
        <v/>
      </c>
    </row>
    <row r="94">
      <c r="A94" s="6" t="inlineStr">
        <is>
          <t>Radicchio</t>
        </is>
      </c>
      <c r="B94" s="6" t="inlineStr">
        <is>
          <t>KG</t>
        </is>
      </c>
      <c r="C94" s="13" t="n">
        <v>0</v>
      </c>
      <c r="D94" s="13" t="n">
        <v>0</v>
      </c>
      <c r="E94" s="9">
        <f>SUMIF(Escandallos!$C$4:$C$324,A94,Escandallos!$G$4:$G$324)</f>
        <v/>
      </c>
      <c r="F94" s="9">
        <f>C94+D94-E94</f>
        <v/>
      </c>
      <c r="G94" s="13" t="n">
        <v>0</v>
      </c>
      <c r="H94" s="9">
        <f>G94-F94</f>
        <v/>
      </c>
      <c r="I94" s="14">
        <f>IFERROR(H94/F94,0)</f>
        <v/>
      </c>
      <c r="J94" s="15">
        <f>IF(ABS(I94)&gt;$B$2,"Revisar","")</f>
        <v/>
      </c>
    </row>
    <row r="95">
      <c r="A95" s="6" t="inlineStr">
        <is>
          <t>Rucula</t>
        </is>
      </c>
      <c r="B95" s="6" t="inlineStr">
        <is>
          <t>L</t>
        </is>
      </c>
      <c r="C95" s="13" t="n">
        <v>0</v>
      </c>
      <c r="D95" s="13" t="n">
        <v>0</v>
      </c>
      <c r="E95" s="9">
        <f>SUMIF(Escandallos!$C$4:$C$324,A95,Escandallos!$G$4:$G$324)</f>
        <v/>
      </c>
      <c r="F95" s="9">
        <f>C95+D95-E95</f>
        <v/>
      </c>
      <c r="G95" s="13" t="n">
        <v>0</v>
      </c>
      <c r="H95" s="9">
        <f>G95-F95</f>
        <v/>
      </c>
      <c r="I95" s="14">
        <f>IFERROR(H95/F95,0)</f>
        <v/>
      </c>
      <c r="J95" s="15">
        <f>IF(ABS(I95)&gt;$B$2,"Revisar","")</f>
        <v/>
      </c>
    </row>
    <row r="96">
      <c r="A96" s="6" t="inlineStr">
        <is>
          <t>Queso de guadarrama</t>
        </is>
      </c>
      <c r="B96" s="6" t="inlineStr">
        <is>
          <t>KG</t>
        </is>
      </c>
      <c r="C96" s="13" t="n">
        <v>0</v>
      </c>
      <c r="D96" s="13" t="n">
        <v>0</v>
      </c>
      <c r="E96" s="9">
        <f>SUMIF(Escandallos!$C$4:$C$324,A96,Escandallos!$G$4:$G$324)</f>
        <v/>
      </c>
      <c r="F96" s="9">
        <f>C96+D96-E96</f>
        <v/>
      </c>
      <c r="G96" s="13" t="n">
        <v>0</v>
      </c>
      <c r="H96" s="9">
        <f>G96-F96</f>
        <v/>
      </c>
      <c r="I96" s="14">
        <f>IFERROR(H96/F96,0)</f>
        <v/>
      </c>
      <c r="J96" s="15">
        <f>IF(ABS(I96)&gt;$B$2,"Revisar","")</f>
        <v/>
      </c>
    </row>
    <row r="97">
      <c r="A97" s="6" t="inlineStr">
        <is>
          <t>Vinagreta de miel</t>
        </is>
      </c>
      <c r="B97" s="6" t="inlineStr">
        <is>
          <t>KG</t>
        </is>
      </c>
      <c r="C97" s="13" t="n">
        <v>0</v>
      </c>
      <c r="D97" s="13" t="n">
        <v>0</v>
      </c>
      <c r="E97" s="9">
        <f>SUMIF(Escandallos!$C$4:$C$324,A97,Escandallos!$G$4:$G$324)</f>
        <v/>
      </c>
      <c r="F97" s="9">
        <f>C97+D97-E97</f>
        <v/>
      </c>
      <c r="G97" s="13" t="n">
        <v>0</v>
      </c>
      <c r="H97" s="9">
        <f>G97-F97</f>
        <v/>
      </c>
      <c r="I97" s="14">
        <f>IFERROR(H97/F97,0)</f>
        <v/>
      </c>
      <c r="J97" s="15">
        <f>IF(ABS(I97)&gt;$B$2,"Revisar","")</f>
        <v/>
      </c>
    </row>
    <row r="98">
      <c r="A98" s="6" t="inlineStr">
        <is>
          <t>Espresso doble</t>
        </is>
      </c>
      <c r="B98" s="6" t="inlineStr">
        <is>
          <t>KG</t>
        </is>
      </c>
      <c r="C98" s="13" t="n">
        <v>0</v>
      </c>
      <c r="D98" s="13" t="n">
        <v>0</v>
      </c>
      <c r="E98" s="9">
        <f>SUMIF(Escandallos!$C$4:$C$324,A98,Escandallos!$G$4:$G$324)</f>
        <v/>
      </c>
      <c r="F98" s="9">
        <f>C98+D98-E98</f>
        <v/>
      </c>
      <c r="G98" s="13" t="n">
        <v>0</v>
      </c>
      <c r="H98" s="9">
        <f>G98-F98</f>
        <v/>
      </c>
      <c r="I98" s="14">
        <f>IFERROR(H98/F98,0)</f>
        <v/>
      </c>
      <c r="J98" s="15">
        <f>IF(ABS(I98)&gt;$B$2,"Revisar","")</f>
        <v/>
      </c>
    </row>
    <row r="99">
      <c r="A99" s="6" t="inlineStr">
        <is>
          <t>Leche de almendra merengada</t>
        </is>
      </c>
      <c r="B99" s="6" t="inlineStr">
        <is>
          <t>KG</t>
        </is>
      </c>
      <c r="C99" s="13" t="n">
        <v>0</v>
      </c>
      <c r="D99" s="13" t="n">
        <v>0</v>
      </c>
      <c r="E99" s="9">
        <f>SUMIF(Escandallos!$C$4:$C$324,A99,Escandallos!$G$4:$G$324)</f>
        <v/>
      </c>
      <c r="F99" s="9">
        <f>C99+D99-E99</f>
        <v/>
      </c>
      <c r="G99" s="13" t="n">
        <v>0</v>
      </c>
      <c r="H99" s="9">
        <f>G99-F99</f>
        <v/>
      </c>
      <c r="I99" s="14">
        <f>IFERROR(H99/F99,0)</f>
        <v/>
      </c>
      <c r="J99" s="15">
        <f>IF(ABS(I99)&gt;$B$2,"Revisar","")</f>
        <v/>
      </c>
    </row>
    <row r="100">
      <c r="A100" s="6" t="inlineStr">
        <is>
          <t>Shot de espresso</t>
        </is>
      </c>
      <c r="B100" s="6" t="inlineStr">
        <is>
          <t>L</t>
        </is>
      </c>
      <c r="C100" s="13" t="n">
        <v>0</v>
      </c>
      <c r="D100" s="13" t="n">
        <v>0</v>
      </c>
      <c r="E100" s="9">
        <f>SUMIF(Escandallos!$C$4:$C$324,A100,Escandallos!$G$4:$G$324)</f>
        <v/>
      </c>
      <c r="F100" s="9">
        <f>C100+D100-E100</f>
        <v/>
      </c>
      <c r="G100" s="13" t="n">
        <v>0</v>
      </c>
      <c r="H100" s="9">
        <f>G100-F100</f>
        <v/>
      </c>
      <c r="I100" s="14">
        <f>IFERROR(H100/F100,0)</f>
        <v/>
      </c>
      <c r="J100" s="15">
        <f>IF(ABS(I100)&gt;$B$2,"Revisar","")</f>
        <v/>
      </c>
    </row>
    <row r="101">
      <c r="A101" s="6" t="inlineStr">
        <is>
          <t>sirope de naranja monin</t>
        </is>
      </c>
      <c r="B101" s="6" t="inlineStr">
        <is>
          <t>KG</t>
        </is>
      </c>
      <c r="C101" s="13" t="n">
        <v>0</v>
      </c>
      <c r="D101" s="13" t="n">
        <v>0</v>
      </c>
      <c r="E101" s="9">
        <f>SUMIF(Escandallos!$C$4:$C$324,A101,Escandallos!$G$4:$G$324)</f>
        <v/>
      </c>
      <c r="F101" s="9">
        <f>C101+D101-E101</f>
        <v/>
      </c>
      <c r="G101" s="13" t="n">
        <v>0</v>
      </c>
      <c r="H101" s="9">
        <f>G101-F101</f>
        <v/>
      </c>
      <c r="I101" s="14">
        <f>IFERROR(H101/F101,0)</f>
        <v/>
      </c>
      <c r="J101" s="15">
        <f>IF(ABS(I101)&gt;$B$2,"Revisar","")</f>
        <v/>
      </c>
    </row>
    <row r="102">
      <c r="A102" s="6" t="inlineStr">
        <is>
          <t>hielo</t>
        </is>
      </c>
      <c r="B102" s="6" t="inlineStr">
        <is>
          <t>KG</t>
        </is>
      </c>
      <c r="C102" s="13" t="n">
        <v>0</v>
      </c>
      <c r="D102" s="13" t="n">
        <v>0</v>
      </c>
      <c r="E102" s="9">
        <f>SUMIF(Escandallos!$C$4:$C$324,A102,Escandallos!$G$4:$G$324)</f>
        <v/>
      </c>
      <c r="F102" s="9">
        <f>C102+D102-E102</f>
        <v/>
      </c>
      <c r="G102" s="13" t="n">
        <v>0</v>
      </c>
      <c r="H102" s="9">
        <f>G102-F102</f>
        <v/>
      </c>
      <c r="I102" s="14">
        <f>IFERROR(H102/F102,0)</f>
        <v/>
      </c>
      <c r="J102" s="15">
        <f>IF(ABS(I102)&gt;$B$2,"Revisar","")</f>
        <v/>
      </c>
    </row>
    <row r="103">
      <c r="A103" s="6" t="inlineStr">
        <is>
          <t>piel de naranja</t>
        </is>
      </c>
      <c r="B103" s="6" t="inlineStr">
        <is>
          <t>KG</t>
        </is>
      </c>
      <c r="C103" s="13" t="n">
        <v>0</v>
      </c>
      <c r="D103" s="13" t="n">
        <v>0</v>
      </c>
      <c r="E103" s="9">
        <f>SUMIF(Escandallos!$C$4:$C$324,A103,Escandallos!$G$4:$G$324)</f>
        <v/>
      </c>
      <c r="F103" s="9">
        <f>C103+D103-E103</f>
        <v/>
      </c>
      <c r="G103" s="13" t="n">
        <v>0</v>
      </c>
      <c r="H103" s="9">
        <f>G103-F103</f>
        <v/>
      </c>
      <c r="I103" s="14">
        <f>IFERROR(H103/F103,0)</f>
        <v/>
      </c>
      <c r="J103" s="15">
        <f>IF(ABS(I103)&gt;$B$2,"Revisar","")</f>
        <v/>
      </c>
    </row>
    <row r="104">
      <c r="A104" s="6" t="inlineStr">
        <is>
          <t>Leche</t>
        </is>
      </c>
      <c r="B104" s="6" t="inlineStr">
        <is>
          <t>KG</t>
        </is>
      </c>
      <c r="C104" s="13" t="n">
        <v>0</v>
      </c>
      <c r="D104" s="13" t="n">
        <v>0</v>
      </c>
      <c r="E104" s="9">
        <f>SUMIF(Escandallos!$C$4:$C$324,A104,Escandallos!$G$4:$G$324)</f>
        <v/>
      </c>
      <c r="F104" s="9">
        <f>C104+D104-E104</f>
        <v/>
      </c>
      <c r="G104" s="13" t="n">
        <v>0</v>
      </c>
      <c r="H104" s="9">
        <f>G104-F104</f>
        <v/>
      </c>
      <c r="I104" s="14">
        <f>IFERROR(H104/F104,0)</f>
        <v/>
      </c>
      <c r="J104" s="15">
        <f>IF(ABS(I104)&gt;$B$2,"Revisar","")</f>
        <v/>
      </c>
    </row>
    <row r="105">
      <c r="A105" s="6" t="inlineStr">
        <is>
          <t>MANTEQUILLA FUNDIDA</t>
        </is>
      </c>
      <c r="B105" s="6" t="inlineStr">
        <is>
          <t>KG</t>
        </is>
      </c>
      <c r="C105" s="13" t="n">
        <v>0</v>
      </c>
      <c r="D105" s="13" t="n">
        <v>0</v>
      </c>
      <c r="E105" s="9">
        <f>SUMIF(Escandallos!$C$4:$C$324,A105,Escandallos!$G$4:$G$324)</f>
        <v/>
      </c>
      <c r="F105" s="9">
        <f>C105+D105-E105</f>
        <v/>
      </c>
      <c r="G105" s="13" t="n">
        <v>0</v>
      </c>
      <c r="H105" s="9">
        <f>G105-F105</f>
        <v/>
      </c>
      <c r="I105" s="14">
        <f>IFERROR(H105/F105,0)</f>
        <v/>
      </c>
      <c r="J105" s="15">
        <f>IF(ABS(I105)&gt;$B$2,"Revisar","")</f>
        <v/>
      </c>
    </row>
    <row r="106">
      <c r="A106" s="6" t="inlineStr">
        <is>
          <t>AZÚCAR BLANCO</t>
        </is>
      </c>
      <c r="B106" s="6" t="inlineStr">
        <is>
          <t>KG</t>
        </is>
      </c>
      <c r="C106" s="13" t="n">
        <v>0</v>
      </c>
      <c r="D106" s="13" t="n">
        <v>0</v>
      </c>
      <c r="E106" s="9">
        <f>SUMIF(Escandallos!$C$4:$C$324,A106,Escandallos!$G$4:$G$324)</f>
        <v/>
      </c>
      <c r="F106" s="9">
        <f>C106+D106-E106</f>
        <v/>
      </c>
      <c r="G106" s="13" t="n">
        <v>0</v>
      </c>
      <c r="H106" s="9">
        <f>G106-F106</f>
        <v/>
      </c>
      <c r="I106" s="14">
        <f>IFERROR(H106/F106,0)</f>
        <v/>
      </c>
      <c r="J106" s="15">
        <f>IF(ABS(I106)&gt;$B$2,"Revisar","")</f>
        <v/>
      </c>
    </row>
    <row r="107">
      <c r="A107" s="6" t="inlineStr">
        <is>
          <t>NAMELAKA DE CAFÉ</t>
        </is>
      </c>
      <c r="B107" s="6" t="inlineStr">
        <is>
          <t>KG</t>
        </is>
      </c>
      <c r="C107" s="13" t="n">
        <v>0</v>
      </c>
      <c r="D107" s="13" t="n">
        <v>0</v>
      </c>
      <c r="E107" s="9">
        <f>SUMIF(Escandallos!$C$4:$C$324,A107,Escandallos!$G$4:$G$324)</f>
        <v/>
      </c>
      <c r="F107" s="9">
        <f>C107+D107-E107</f>
        <v/>
      </c>
      <c r="G107" s="13" t="n">
        <v>0</v>
      </c>
      <c r="H107" s="9">
        <f>G107-F107</f>
        <v/>
      </c>
      <c r="I107" s="14">
        <f>IFERROR(H107/F107,0)</f>
        <v/>
      </c>
      <c r="J107" s="15">
        <f>IF(ABS(I107)&gt;$B$2,"Revisar","")</f>
        <v/>
      </c>
    </row>
    <row r="108">
      <c r="A108" s="6" t="inlineStr">
        <is>
          <t>NAMELAKA DE AVELLANAS</t>
        </is>
      </c>
      <c r="B108" s="6" t="inlineStr">
        <is>
          <t>KG</t>
        </is>
      </c>
      <c r="C108" s="13" t="n">
        <v>0</v>
      </c>
      <c r="D108" s="13" t="n">
        <v>0</v>
      </c>
      <c r="E108" s="9">
        <f>SUMIF(Escandallos!$C$4:$C$324,A108,Escandallos!$G$4:$G$324)</f>
        <v/>
      </c>
      <c r="F108" s="9">
        <f>C108+D108-E108</f>
        <v/>
      </c>
      <c r="G108" s="13" t="n">
        <v>0</v>
      </c>
      <c r="H108" s="9">
        <f>G108-F108</f>
        <v/>
      </c>
      <c r="I108" s="14">
        <f>IFERROR(H108/F108,0)</f>
        <v/>
      </c>
      <c r="J108" s="15">
        <f>IF(ABS(I108)&gt;$B$2,"Revisar","")</f>
        <v/>
      </c>
    </row>
    <row r="109">
      <c r="A109" s="6" t="inlineStr">
        <is>
          <t>NAMELAKA DE PISTACHOS</t>
        </is>
      </c>
      <c r="B109" s="6" t="inlineStr">
        <is>
          <t>KG</t>
        </is>
      </c>
      <c r="C109" s="13" t="n">
        <v>0</v>
      </c>
      <c r="D109" s="13" t="n">
        <v>0</v>
      </c>
      <c r="E109" s="9">
        <f>SUMIF(Escandallos!$C$4:$C$324,A109,Escandallos!$G$4:$G$324)</f>
        <v/>
      </c>
      <c r="F109" s="9">
        <f>C109+D109-E109</f>
        <v/>
      </c>
      <c r="G109" s="13" t="n">
        <v>0</v>
      </c>
      <c r="H109" s="9">
        <f>G109-F109</f>
        <v/>
      </c>
      <c r="I109" s="14">
        <f>IFERROR(H109/F109,0)</f>
        <v/>
      </c>
      <c r="J109" s="15">
        <f>IF(ABS(I109)&gt;$B$2,"Revisar","")</f>
        <v/>
      </c>
    </row>
    <row r="110">
      <c r="A110" s="6" t="inlineStr">
        <is>
          <t>DIPLOMATA DE NARANJA</t>
        </is>
      </c>
      <c r="B110" s="6" t="inlineStr">
        <is>
          <t>KG</t>
        </is>
      </c>
      <c r="C110" s="13" t="n">
        <v>0</v>
      </c>
      <c r="D110" s="13" t="n">
        <v>0</v>
      </c>
      <c r="E110" s="9">
        <f>SUMIF(Escandallos!$C$4:$C$324,A110,Escandallos!$G$4:$G$324)</f>
        <v/>
      </c>
      <c r="F110" s="9">
        <f>C110+D110-E110</f>
        <v/>
      </c>
      <c r="G110" s="13" t="n">
        <v>0</v>
      </c>
      <c r="H110" s="9">
        <f>G110-F110</f>
        <v/>
      </c>
      <c r="I110" s="14">
        <f>IFERROR(H110/F110,0)</f>
        <v/>
      </c>
      <c r="J110" s="15">
        <f>IF(ABS(I110)&gt;$B$2,"Revisar","")</f>
        <v/>
      </c>
    </row>
    <row r="111">
      <c r="A111" s="6" t="inlineStr">
        <is>
          <t>DIPLOMATA DE LECHE MERENGADA</t>
        </is>
      </c>
      <c r="B111" s="6" t="inlineStr">
        <is>
          <t>KG</t>
        </is>
      </c>
      <c r="C111" s="13" t="n">
        <v>0</v>
      </c>
      <c r="D111" s="13" t="n">
        <v>0</v>
      </c>
      <c r="E111" s="9">
        <f>SUMIF(Escandallos!$C$4:$C$324,A111,Escandallos!$G$4:$G$324)</f>
        <v/>
      </c>
      <c r="F111" s="9">
        <f>C111+D111-E111</f>
        <v/>
      </c>
      <c r="G111" s="13" t="n">
        <v>0</v>
      </c>
      <c r="H111" s="9">
        <f>G111-F111</f>
        <v/>
      </c>
      <c r="I111" s="14">
        <f>IFERROR(H111/F111,0)</f>
        <v/>
      </c>
      <c r="J111" s="15">
        <f>IF(ABS(I111)&gt;$B$2,"Revisar","")</f>
        <v/>
      </c>
    </row>
    <row r="112">
      <c r="A112" s="6" t="inlineStr">
        <is>
          <t>NATA FRESCA</t>
        </is>
      </c>
      <c r="B112" s="6" t="inlineStr">
        <is>
          <t>KG</t>
        </is>
      </c>
      <c r="C112" s="13" t="n">
        <v>0</v>
      </c>
      <c r="D112" s="13" t="n">
        <v>0</v>
      </c>
      <c r="E112" s="9">
        <f>SUMIF(Escandallos!$C$4:$C$324,A112,Escandallos!$G$4:$G$324)</f>
        <v/>
      </c>
      <c r="F112" s="9">
        <f>C112+D112-E112</f>
        <v/>
      </c>
      <c r="G112" s="13" t="n">
        <v>0</v>
      </c>
      <c r="H112" s="9">
        <f>G112-F112</f>
        <v/>
      </c>
      <c r="I112" s="14">
        <f>IFERROR(H112/F112,0)</f>
        <v/>
      </c>
      <c r="J112" s="15">
        <f>IF(ABS(I112)&gt;$B$2,"Revisar","")</f>
        <v/>
      </c>
    </row>
    <row r="113">
      <c r="A113" s="6" t="inlineStr">
        <is>
          <t>CREMOSO DE CHOCOLATE</t>
        </is>
      </c>
      <c r="B113" s="6" t="inlineStr">
        <is>
          <t>KG</t>
        </is>
      </c>
      <c r="C113" s="13" t="n">
        <v>0</v>
      </c>
      <c r="D113" s="13" t="n">
        <v>0</v>
      </c>
      <c r="E113" s="9">
        <f>SUMIF(Escandallos!$C$4:$C$324,A113,Escandallos!$G$4:$G$324)</f>
        <v/>
      </c>
      <c r="F113" s="9">
        <f>C113+D113-E113</f>
        <v/>
      </c>
      <c r="G113" s="13" t="n">
        <v>0</v>
      </c>
      <c r="H113" s="9">
        <f>G113-F113</f>
        <v/>
      </c>
      <c r="I113" s="14">
        <f>IFERROR(H113/F113,0)</f>
        <v/>
      </c>
      <c r="J113" s="15">
        <f>IF(ABS(I113)&gt;$B$2,"Revisar","")</f>
        <v/>
      </c>
    </row>
    <row r="114">
      <c r="A114" s="6" t="inlineStr">
        <is>
          <t>BIZCOCHO DE CHOCOLATE</t>
        </is>
      </c>
      <c r="B114" s="6" t="inlineStr">
        <is>
          <t>UNIDAD</t>
        </is>
      </c>
      <c r="C114" s="13" t="n">
        <v>0</v>
      </c>
      <c r="D114" s="13" t="n">
        <v>0</v>
      </c>
      <c r="E114" s="9">
        <f>SUMIF(Escandallos!$C$4:$C$324,A114,Escandallos!$G$4:$G$324)</f>
        <v/>
      </c>
      <c r="F114" s="9">
        <f>C114+D114-E114</f>
        <v/>
      </c>
      <c r="G114" s="13" t="n">
        <v>0</v>
      </c>
      <c r="H114" s="9">
        <f>G114-F114</f>
        <v/>
      </c>
      <c r="I114" s="14">
        <f>IFERROR(H114/F114,0)</f>
        <v/>
      </c>
      <c r="J114" s="15">
        <f>IF(ABS(I114)&gt;$B$2,"Revisar","")</f>
        <v/>
      </c>
    </row>
    <row r="115">
      <c r="A115" s="6" t="inlineStr">
        <is>
          <t>ALMIBAR DE CACAO</t>
        </is>
      </c>
      <c r="B115" s="6" t="inlineStr">
        <is>
          <t>KG</t>
        </is>
      </c>
      <c r="C115" s="13" t="n">
        <v>0</v>
      </c>
      <c r="D115" s="13" t="n">
        <v>0</v>
      </c>
      <c r="E115" s="9">
        <f>SUMIF(Escandallos!$C$4:$C$324,A115,Escandallos!$G$4:$G$324)</f>
        <v/>
      </c>
      <c r="F115" s="9">
        <f>C115+D115-E115</f>
        <v/>
      </c>
      <c r="G115" s="13" t="n">
        <v>0</v>
      </c>
      <c r="H115" s="9">
        <f>G115-F115</f>
        <v/>
      </c>
      <c r="I115" s="14">
        <f>IFERROR(H115/F115,0)</f>
        <v/>
      </c>
      <c r="J115" s="15">
        <f>IF(ABS(I115)&gt;$B$2,"Revisar","")</f>
        <v/>
      </c>
    </row>
    <row r="116">
      <c r="A116" s="6" t="inlineStr">
        <is>
          <t>SAL MALDON</t>
        </is>
      </c>
      <c r="B116" s="6" t="inlineStr">
        <is>
          <t>KG</t>
        </is>
      </c>
      <c r="C116" s="13" t="n">
        <v>0</v>
      </c>
      <c r="D116" s="13" t="n">
        <v>0</v>
      </c>
      <c r="E116" s="9">
        <f>SUMIF(Escandallos!$C$4:$C$324,A116,Escandallos!$G$4:$G$324)</f>
        <v/>
      </c>
      <c r="F116" s="9">
        <f>C116+D116-E116</f>
        <v/>
      </c>
      <c r="G116" s="13" t="n">
        <v>0</v>
      </c>
      <c r="H116" s="9">
        <f>G116-F116</f>
        <v/>
      </c>
      <c r="I116" s="14">
        <f>IFERROR(H116/F116,0)</f>
        <v/>
      </c>
      <c r="J116" s="15">
        <f>IF(ABS(I116)&gt;$B$2,"Revisar","")</f>
        <v/>
      </c>
    </row>
    <row r="117">
      <c r="A117" s="6" t="inlineStr">
        <is>
          <t>BIZCOCHO DE NARANJA Y PISTACHO</t>
        </is>
      </c>
      <c r="B117" s="6" t="inlineStr">
        <is>
          <t>UNIDAD</t>
        </is>
      </c>
      <c r="C117" s="13" t="n">
        <v>0</v>
      </c>
      <c r="D117" s="13" t="n">
        <v>0</v>
      </c>
      <c r="E117" s="9">
        <f>SUMIF(Escandallos!$C$4:$C$324,A117,Escandallos!$G$4:$G$324)</f>
        <v/>
      </c>
      <c r="F117" s="9">
        <f>C117+D117-E117</f>
        <v/>
      </c>
      <c r="G117" s="13" t="n">
        <v>0</v>
      </c>
      <c r="H117" s="9">
        <f>G117-F117</f>
        <v/>
      </c>
      <c r="I117" s="14">
        <f>IFERROR(H117/F117,0)</f>
        <v/>
      </c>
      <c r="J117" s="15">
        <f>IF(ABS(I117)&gt;$B$2,"Revisar","")</f>
        <v/>
      </c>
    </row>
    <row r="118">
      <c r="A118" s="6" t="inlineStr">
        <is>
          <t>ALMIBAR DE NARANJA Y MANDARINA</t>
        </is>
      </c>
      <c r="B118" s="6" t="inlineStr">
        <is>
          <t>KG</t>
        </is>
      </c>
      <c r="C118" s="13" t="n">
        <v>0</v>
      </c>
      <c r="D118" s="13" t="n">
        <v>0</v>
      </c>
      <c r="E118" s="9">
        <f>SUMIF(Escandallos!$C$4:$C$324,A118,Escandallos!$G$4:$G$324)</f>
        <v/>
      </c>
      <c r="F118" s="9">
        <f>C118+D118-E118</f>
        <v/>
      </c>
      <c r="G118" s="13" t="n">
        <v>0</v>
      </c>
      <c r="H118" s="9">
        <f>G118-F118</f>
        <v/>
      </c>
      <c r="I118" s="14">
        <f>IFERROR(H118/F118,0)</f>
        <v/>
      </c>
      <c r="J118" s="15">
        <f>IF(ABS(I118)&gt;$B$2,"Revisar","")</f>
        <v/>
      </c>
    </row>
    <row r="119">
      <c r="A119" s="6" t="inlineStr">
        <is>
          <t>GLASA DE NARANJA Y CARDAMOMO</t>
        </is>
      </c>
      <c r="B119" s="6" t="inlineStr">
        <is>
          <t>KG</t>
        </is>
      </c>
      <c r="C119" s="13" t="n">
        <v>0</v>
      </c>
      <c r="D119" s="13" t="n">
        <v>0</v>
      </c>
      <c r="E119" s="9">
        <f>SUMIF(Escandallos!$C$4:$C$324,A119,Escandallos!$G$4:$G$324)</f>
        <v/>
      </c>
      <c r="F119" s="9">
        <f>C119+D119-E119</f>
        <v/>
      </c>
      <c r="G119" s="13" t="n">
        <v>0</v>
      </c>
      <c r="H119" s="9">
        <f>G119-F119</f>
        <v/>
      </c>
      <c r="I119" s="14">
        <f>IFERROR(H119/F119,0)</f>
        <v/>
      </c>
      <c r="J119" s="15">
        <f>IF(ABS(I119)&gt;$B$2,"Revisar","")</f>
        <v/>
      </c>
    </row>
    <row r="120">
      <c r="A120" s="6" t="inlineStr">
        <is>
          <t>PISATCHOS TROCEADOS</t>
        </is>
      </c>
      <c r="B120" s="6" t="inlineStr">
        <is>
          <t>KG</t>
        </is>
      </c>
      <c r="C120" s="13" t="n">
        <v>0</v>
      </c>
      <c r="D120" s="13" t="n">
        <v>0</v>
      </c>
      <c r="E120" s="9">
        <f>SUMIF(Escandallos!$C$4:$C$324,A120,Escandallos!$G$4:$G$324)</f>
        <v/>
      </c>
      <c r="F120" s="9">
        <f>C120+D120-E120</f>
        <v/>
      </c>
      <c r="G120" s="13" t="n">
        <v>0</v>
      </c>
      <c r="H120" s="9">
        <f>G120-F120</f>
        <v/>
      </c>
      <c r="I120" s="14">
        <f>IFERROR(H120/F120,0)</f>
        <v/>
      </c>
      <c r="J120" s="15">
        <f>IF(ABS(I120)&gt;$B$2,"Revisar","")</f>
        <v/>
      </c>
    </row>
    <row r="121">
      <c r="A121" s="6" t="inlineStr">
        <is>
          <t>RALLADURA DE NARANJA</t>
        </is>
      </c>
      <c r="B121" s="6" t="inlineStr">
        <is>
          <t>KG</t>
        </is>
      </c>
      <c r="C121" s="13" t="n">
        <v>0</v>
      </c>
      <c r="D121" s="13" t="n">
        <v>0</v>
      </c>
      <c r="E121" s="9">
        <f>SUMIF(Escandallos!$C$4:$C$324,A121,Escandallos!$G$4:$G$324)</f>
        <v/>
      </c>
      <c r="F121" s="9">
        <f>C121+D121-E121</f>
        <v/>
      </c>
      <c r="G121" s="13" t="n">
        <v>0</v>
      </c>
      <c r="H121" s="9">
        <f>G121-F121</f>
        <v/>
      </c>
      <c r="I121" s="14">
        <f>IFERROR(H121/F121,0)</f>
        <v/>
      </c>
      <c r="J121" s="15">
        <f>IF(ABS(I121)&gt;$B$2,"Revisar","")</f>
        <v/>
      </c>
    </row>
    <row r="122">
      <c r="A122" s="6" t="inlineStr">
        <is>
          <t>BIZCOCHO DE ALMENDRAS</t>
        </is>
      </c>
      <c r="B122" s="6" t="inlineStr">
        <is>
          <t>UNIDAD</t>
        </is>
      </c>
      <c r="C122" s="13" t="n">
        <v>0</v>
      </c>
      <c r="D122" s="13" t="n">
        <v>0</v>
      </c>
      <c r="E122" s="9">
        <f>SUMIF(Escandallos!$C$4:$C$324,A122,Escandallos!$G$4:$G$324)</f>
        <v/>
      </c>
      <c r="F122" s="9">
        <f>C122+D122-E122</f>
        <v/>
      </c>
      <c r="G122" s="13" t="n">
        <v>0</v>
      </c>
      <c r="H122" s="9">
        <f>G122-F122</f>
        <v/>
      </c>
      <c r="I122" s="14">
        <f>IFERROR(H122/F122,0)</f>
        <v/>
      </c>
      <c r="J122" s="15">
        <f>IF(ABS(I122)&gt;$B$2,"Revisar","")</f>
        <v/>
      </c>
    </row>
    <row r="123">
      <c r="A123" s="6" t="inlineStr">
        <is>
          <t>ALMIBAR DE AZAHAR Y MANDARINA</t>
        </is>
      </c>
      <c r="B123" s="6" t="inlineStr">
        <is>
          <t>KG</t>
        </is>
      </c>
      <c r="C123" s="13" t="n">
        <v>0</v>
      </c>
      <c r="D123" s="13" t="n">
        <v>0</v>
      </c>
      <c r="E123" s="9">
        <f>SUMIF(Escandallos!$C$4:$C$324,A123,Escandallos!$G$4:$G$324)</f>
        <v/>
      </c>
      <c r="F123" s="9">
        <f>C123+D123-E123</f>
        <v/>
      </c>
      <c r="G123" s="13" t="n">
        <v>0</v>
      </c>
      <c r="H123" s="9">
        <f>G123-F123</f>
        <v/>
      </c>
      <c r="I123" s="14">
        <f>IFERROR(H123/F123,0)</f>
        <v/>
      </c>
      <c r="J123" s="15">
        <f>IF(ABS(I123)&gt;$B$2,"Revisar","")</f>
        <v/>
      </c>
    </row>
    <row r="124">
      <c r="A124" s="6" t="inlineStr">
        <is>
          <t>GLASA DE YOGURTH</t>
        </is>
      </c>
      <c r="B124" s="6" t="inlineStr">
        <is>
          <t>KG</t>
        </is>
      </c>
      <c r="C124" s="13" t="n">
        <v>0</v>
      </c>
      <c r="D124" s="13" t="n">
        <v>0</v>
      </c>
      <c r="E124" s="9">
        <f>SUMIF(Escandallos!$C$4:$C$324,A124,Escandallos!$G$4:$G$324)</f>
        <v/>
      </c>
      <c r="F124" s="9">
        <f>C124+D124-E124</f>
        <v/>
      </c>
      <c r="G124" s="13" t="n">
        <v>0</v>
      </c>
      <c r="H124" s="9">
        <f>G124-F124</f>
        <v/>
      </c>
      <c r="I124" s="14">
        <f>IFERROR(H124/F124,0)</f>
        <v/>
      </c>
      <c r="J124" s="15">
        <f>IF(ABS(I124)&gt;$B$2,"Revisar","")</f>
        <v/>
      </c>
    </row>
    <row r="125">
      <c r="A125" s="6" t="inlineStr">
        <is>
          <t>ALAMENDRAS LAMINADAS</t>
        </is>
      </c>
      <c r="B125" s="6" t="inlineStr">
        <is>
          <t>KG</t>
        </is>
      </c>
      <c r="C125" s="13" t="n">
        <v>0</v>
      </c>
      <c r="D125" s="13" t="n">
        <v>0</v>
      </c>
      <c r="E125" s="9">
        <f>SUMIF(Escandallos!$C$4:$C$324,A125,Escandallos!$G$4:$G$324)</f>
        <v/>
      </c>
      <c r="F125" s="9">
        <f>C125+D125-E125</f>
        <v/>
      </c>
      <c r="G125" s="13" t="n">
        <v>0</v>
      </c>
      <c r="H125" s="9">
        <f>G125-F125</f>
        <v/>
      </c>
      <c r="I125" s="14">
        <f>IFERROR(H125/F125,0)</f>
        <v/>
      </c>
      <c r="J125" s="15">
        <f>IF(ABS(I125)&gt;$B$2,"Revisar","")</f>
        <v/>
      </c>
    </row>
    <row r="126">
      <c r="A126" s="6" t="inlineStr">
        <is>
          <t>BIZCOCHO DE CAFÉ Y NUECES</t>
        </is>
      </c>
      <c r="B126" s="6" t="inlineStr">
        <is>
          <t>UNIDAD</t>
        </is>
      </c>
      <c r="C126" s="13" t="n">
        <v>0</v>
      </c>
      <c r="D126" s="13" t="n">
        <v>0</v>
      </c>
      <c r="E126" s="9">
        <f>SUMIF(Escandallos!$C$4:$C$324,A126,Escandallos!$G$4:$G$324)</f>
        <v/>
      </c>
      <c r="F126" s="9">
        <f>C126+D126-E126</f>
        <v/>
      </c>
      <c r="G126" s="13" t="n">
        <v>0</v>
      </c>
      <c r="H126" s="9">
        <f>G126-F126</f>
        <v/>
      </c>
      <c r="I126" s="14">
        <f>IFERROR(H126/F126,0)</f>
        <v/>
      </c>
      <c r="J126" s="15">
        <f>IF(ABS(I126)&gt;$B$2,"Revisar","")</f>
        <v/>
      </c>
    </row>
    <row r="127">
      <c r="A127" s="6" t="inlineStr">
        <is>
          <t>ALMIBAR DE CAFÉ VAINILLA Y HABA TONKA</t>
        </is>
      </c>
      <c r="B127" s="6" t="inlineStr">
        <is>
          <t>KG</t>
        </is>
      </c>
      <c r="C127" s="13" t="n">
        <v>0</v>
      </c>
      <c r="D127" s="13" t="n">
        <v>0</v>
      </c>
      <c r="E127" s="9">
        <f>SUMIF(Escandallos!$C$4:$C$324,A127,Escandallos!$G$4:$G$324)</f>
        <v/>
      </c>
      <c r="F127" s="9">
        <f>C127+D127-E127</f>
        <v/>
      </c>
      <c r="G127" s="13" t="n">
        <v>0</v>
      </c>
      <c r="H127" s="9">
        <f>G127-F127</f>
        <v/>
      </c>
      <c r="I127" s="14">
        <f>IFERROR(H127/F127,0)</f>
        <v/>
      </c>
      <c r="J127" s="15">
        <f>IF(ABS(I127)&gt;$B$2,"Revisar","")</f>
        <v/>
      </c>
    </row>
    <row r="128">
      <c r="A128" s="6" t="inlineStr">
        <is>
          <t>GLASA DE CAFÉ</t>
        </is>
      </c>
      <c r="B128" s="6" t="inlineStr">
        <is>
          <t>KG</t>
        </is>
      </c>
      <c r="C128" s="13" t="n">
        <v>0</v>
      </c>
      <c r="D128" s="13" t="n">
        <v>0</v>
      </c>
      <c r="E128" s="9">
        <f>SUMIF(Escandallos!$C$4:$C$324,A128,Escandallos!$G$4:$G$324)</f>
        <v/>
      </c>
      <c r="F128" s="9">
        <f>C128+D128-E128</f>
        <v/>
      </c>
      <c r="G128" s="13" t="n">
        <v>0</v>
      </c>
      <c r="H128" s="9">
        <f>G128-F128</f>
        <v/>
      </c>
      <c r="I128" s="14">
        <f>IFERROR(H128/F128,0)</f>
        <v/>
      </c>
      <c r="J128" s="15">
        <f>IF(ABS(I128)&gt;$B$2,"Revisar","")</f>
        <v/>
      </c>
    </row>
    <row r="129">
      <c r="A129" s="6" t="inlineStr">
        <is>
          <t>NUECES TROCEADAS</t>
        </is>
      </c>
      <c r="B129" s="6" t="inlineStr">
        <is>
          <t>KG</t>
        </is>
      </c>
      <c r="C129" s="13" t="n">
        <v>0</v>
      </c>
      <c r="D129" s="13" t="n">
        <v>0</v>
      </c>
      <c r="E129" s="9">
        <f>SUMIF(Escandallos!$C$4:$C$324,A129,Escandallos!$G$4:$G$324)</f>
        <v/>
      </c>
      <c r="F129" s="9">
        <f>C129+D129-E129</f>
        <v/>
      </c>
      <c r="G129" s="13" t="n">
        <v>0</v>
      </c>
      <c r="H129" s="9">
        <f>G129-F129</f>
        <v/>
      </c>
      <c r="I129" s="14">
        <f>IFERROR(H129/F129,0)</f>
        <v/>
      </c>
      <c r="J129" s="15">
        <f>IF(ABS(I129)&gt;$B$2,"Revisar","")</f>
        <v/>
      </c>
    </row>
    <row r="130">
      <c r="A130" s="6" t="inlineStr">
        <is>
          <t>BIZCOCHO DE ZANAHORIA</t>
        </is>
      </c>
      <c r="B130" s="6" t="inlineStr">
        <is>
          <t>UNIDAD</t>
        </is>
      </c>
      <c r="C130" s="13" t="n">
        <v>0</v>
      </c>
      <c r="D130" s="13" t="n">
        <v>0</v>
      </c>
      <c r="E130" s="9">
        <f>SUMIF(Escandallos!$C$4:$C$324,A130,Escandallos!$G$4:$G$324)</f>
        <v/>
      </c>
      <c r="F130" s="9">
        <f>C130+D130-E130</f>
        <v/>
      </c>
      <c r="G130" s="13" t="n">
        <v>0</v>
      </c>
      <c r="H130" s="9">
        <f>G130-F130</f>
        <v/>
      </c>
      <c r="I130" s="14">
        <f>IFERROR(H130/F130,0)</f>
        <v/>
      </c>
      <c r="J130" s="15">
        <f>IF(ABS(I130)&gt;$B$2,"Revisar","")</f>
        <v/>
      </c>
    </row>
    <row r="131">
      <c r="A131" s="6" t="inlineStr">
        <is>
          <t>BIZCOCHO DE LIMÓN</t>
        </is>
      </c>
      <c r="B131" s="6" t="inlineStr">
        <is>
          <t>UNIDAD</t>
        </is>
      </c>
      <c r="C131" s="13" t="n">
        <v>0</v>
      </c>
      <c r="D131" s="13" t="n">
        <v>0</v>
      </c>
      <c r="E131" s="9">
        <f>SUMIF(Escandallos!$C$4:$C$324,A131,Escandallos!$G$4:$G$324)</f>
        <v/>
      </c>
      <c r="F131" s="9">
        <f>C131+D131-E131</f>
        <v/>
      </c>
      <c r="G131" s="13" t="n">
        <v>0</v>
      </c>
      <c r="H131" s="9">
        <f>G131-F131</f>
        <v/>
      </c>
      <c r="I131" s="14">
        <f>IFERROR(H131/F131,0)</f>
        <v/>
      </c>
      <c r="J131" s="15">
        <f>IF(ABS(I131)&gt;$B$2,"Revisar","")</f>
        <v/>
      </c>
    </row>
    <row r="132">
      <c r="A132" s="6" t="inlineStr">
        <is>
          <t>ALMIBAR DE LIMÓN Y ROMERO</t>
        </is>
      </c>
      <c r="B132" s="6" t="inlineStr">
        <is>
          <t>KG</t>
        </is>
      </c>
      <c r="C132" s="13" t="n">
        <v>0</v>
      </c>
      <c r="D132" s="13" t="n">
        <v>0</v>
      </c>
      <c r="E132" s="9">
        <f>SUMIF(Escandallos!$C$4:$C$324,A132,Escandallos!$G$4:$G$324)</f>
        <v/>
      </c>
      <c r="F132" s="9">
        <f>C132+D132-E132</f>
        <v/>
      </c>
      <c r="G132" s="13" t="n">
        <v>0</v>
      </c>
      <c r="H132" s="9">
        <f>G132-F132</f>
        <v/>
      </c>
      <c r="I132" s="14">
        <f>IFERROR(H132/F132,0)</f>
        <v/>
      </c>
      <c r="J132" s="15">
        <f>IF(ABS(I132)&gt;$B$2,"Revisar","")</f>
        <v/>
      </c>
    </row>
    <row r="133">
      <c r="A133" s="6" t="inlineStr">
        <is>
          <t>GLASA DE LIMÓN</t>
        </is>
      </c>
      <c r="B133" s="6" t="inlineStr">
        <is>
          <t>KG</t>
        </is>
      </c>
      <c r="C133" s="13" t="n">
        <v>0</v>
      </c>
      <c r="D133" s="13" t="n">
        <v>0</v>
      </c>
      <c r="E133" s="9">
        <f>SUMIF(Escandallos!$C$4:$C$324,A133,Escandallos!$G$4:$G$324)</f>
        <v/>
      </c>
      <c r="F133" s="9">
        <f>C133+D133-E133</f>
        <v/>
      </c>
      <c r="G133" s="13" t="n">
        <v>0</v>
      </c>
      <c r="H133" s="9">
        <f>G133-F133</f>
        <v/>
      </c>
      <c r="I133" s="14">
        <f>IFERROR(H133/F133,0)</f>
        <v/>
      </c>
      <c r="J133" s="15">
        <f>IF(ABS(I133)&gt;$B$2,"Revisar","")</f>
        <v/>
      </c>
    </row>
    <row r="134">
      <c r="A134" s="6" t="inlineStr">
        <is>
          <t>ROMERO FRESCO</t>
        </is>
      </c>
      <c r="B134" s="6" t="inlineStr">
        <is>
          <t>KG</t>
        </is>
      </c>
      <c r="C134" s="13" t="n">
        <v>0</v>
      </c>
      <c r="D134" s="13" t="n">
        <v>0</v>
      </c>
      <c r="E134" s="9">
        <f>SUMIF(Escandallos!$C$4:$C$324,A134,Escandallos!$G$4:$G$324)</f>
        <v/>
      </c>
      <c r="F134" s="9">
        <f>C134+D134-E134</f>
        <v/>
      </c>
      <c r="G134" s="13" t="n">
        <v>0</v>
      </c>
      <c r="H134" s="9">
        <f>G134-F134</f>
        <v/>
      </c>
      <c r="I134" s="14">
        <f>IFERROR(H134/F134,0)</f>
        <v/>
      </c>
      <c r="J134" s="15">
        <f>IF(ABS(I134)&gt;$B$2,"Revisar","")</f>
        <v/>
      </c>
    </row>
    <row r="135">
      <c r="A135" s="6" t="inlineStr">
        <is>
          <t>AVELLANAS TROCEADAS</t>
        </is>
      </c>
      <c r="B135" s="6" t="inlineStr">
        <is>
          <t>KG</t>
        </is>
      </c>
      <c r="C135" s="13" t="n">
        <v>0</v>
      </c>
      <c r="D135" s="13" t="n">
        <v>0</v>
      </c>
      <c r="E135" s="9">
        <f>SUMIF(Escandallos!$C$4:$C$324,A135,Escandallos!$G$4:$G$324)</f>
        <v/>
      </c>
      <c r="F135" s="9">
        <f>C135+D135-E135</f>
        <v/>
      </c>
      <c r="G135" s="13" t="n">
        <v>0</v>
      </c>
      <c r="H135" s="9">
        <f>G135-F135</f>
        <v/>
      </c>
      <c r="I135" s="14">
        <f>IFERROR(H135/F135,0)</f>
        <v/>
      </c>
      <c r="J135" s="15">
        <f>IF(ABS(I135)&gt;$B$2,"Revisar","")</f>
        <v/>
      </c>
    </row>
    <row r="136">
      <c r="A136" s="6" t="inlineStr">
        <is>
          <t>PASTA DE PISTACHO</t>
        </is>
      </c>
      <c r="B136" s="6" t="inlineStr">
        <is>
          <t>KG</t>
        </is>
      </c>
      <c r="C136" s="13" t="n">
        <v>0</v>
      </c>
      <c r="D136" s="13" t="n">
        <v>0</v>
      </c>
      <c r="E136" s="9">
        <f>SUMIF(Escandallos!$C$4:$C$324,A136,Escandallos!$G$4:$G$324)</f>
        <v/>
      </c>
      <c r="F136" s="9">
        <f>C136+D136-E136</f>
        <v/>
      </c>
      <c r="G136" s="13" t="n">
        <v>0</v>
      </c>
      <c r="H136" s="9">
        <f>G136-F136</f>
        <v/>
      </c>
      <c r="I136" s="14">
        <f>IFERROR(H136/F136,0)</f>
        <v/>
      </c>
      <c r="J136" s="15">
        <f>IF(ABS(I136)&gt;$B$2,"Revisar","")</f>
        <v/>
      </c>
    </row>
    <row r="137">
      <c r="A137" s="6" t="inlineStr">
        <is>
          <t>BRILLO DE MIEL</t>
        </is>
      </c>
      <c r="B137" s="6" t="inlineStr">
        <is>
          <t>KG</t>
        </is>
      </c>
      <c r="C137" s="13" t="n">
        <v>0</v>
      </c>
      <c r="D137" s="13" t="n">
        <v>0</v>
      </c>
      <c r="E137" s="9">
        <f>SUMIF(Escandallos!$C$4:$C$324,A137,Escandallos!$G$4:$G$324)</f>
        <v/>
      </c>
      <c r="F137" s="9">
        <f>C137+D137-E137</f>
        <v/>
      </c>
      <c r="G137" s="13" t="n">
        <v>0</v>
      </c>
      <c r="H137" s="9">
        <f>G137-F137</f>
        <v/>
      </c>
      <c r="I137" s="14">
        <f>IFERROR(H137/F137,0)</f>
        <v/>
      </c>
      <c r="J137" s="15">
        <f>IF(ABS(I137)&gt;$B$2,"Revisar","")</f>
        <v/>
      </c>
    </row>
    <row r="138">
      <c r="A138" s="6" t="inlineStr">
        <is>
          <t>PINTURA DE YEMA</t>
        </is>
      </c>
      <c r="B138" s="6" t="inlineStr">
        <is>
          <t>KG</t>
        </is>
      </c>
      <c r="C138" s="13" t="n">
        <v>0</v>
      </c>
      <c r="D138" s="13" t="n">
        <v>0</v>
      </c>
      <c r="E138" s="9">
        <f>SUMIF(Escandallos!$C$4:$C$324,A138,Escandallos!$G$4:$G$324)</f>
        <v/>
      </c>
      <c r="F138" s="9">
        <f>C138+D138-E138</f>
        <v/>
      </c>
      <c r="G138" s="13" t="n">
        <v>0</v>
      </c>
      <c r="H138" s="9">
        <f>G138-F138</f>
        <v/>
      </c>
      <c r="I138" s="14">
        <f>IFERROR(H138/F138,0)</f>
        <v/>
      </c>
      <c r="J138" s="15">
        <f>IF(ABS(I138)&gt;$B$2,"Revisar","")</f>
        <v/>
      </c>
    </row>
    <row r="139">
      <c r="A139" s="6" t="inlineStr">
        <is>
          <t>PISTACHOS TROCEADOS</t>
        </is>
      </c>
      <c r="B139" s="6" t="inlineStr">
        <is>
          <t>KG</t>
        </is>
      </c>
      <c r="C139" s="13" t="n">
        <v>0</v>
      </c>
      <c r="D139" s="13" t="n">
        <v>0</v>
      </c>
      <c r="E139" s="9">
        <f>SUMIF(Escandallos!$C$4:$C$324,A139,Escandallos!$G$4:$G$324)</f>
        <v/>
      </c>
      <c r="F139" s="9">
        <f>C139+D139-E139</f>
        <v/>
      </c>
      <c r="G139" s="13" t="n">
        <v>0</v>
      </c>
      <c r="H139" s="9">
        <f>G139-F139</f>
        <v/>
      </c>
      <c r="I139" s="14">
        <f>IFERROR(H139/F139,0)</f>
        <v/>
      </c>
      <c r="J139" s="15">
        <f>IF(ABS(I139)&gt;$B$2,"Revisar","")</f>
        <v/>
      </c>
    </row>
    <row r="140">
      <c r="A140" s="6" t="inlineStr">
        <is>
          <t>PASTA DE CANELA Y LIMÓN</t>
        </is>
      </c>
      <c r="B140" s="6" t="inlineStr">
        <is>
          <t>KG</t>
        </is>
      </c>
      <c r="C140" s="13" t="n">
        <v>0</v>
      </c>
      <c r="D140" s="13" t="n">
        <v>0</v>
      </c>
      <c r="E140" s="9">
        <f>SUMIF(Escandallos!$C$4:$C$324,A140,Escandallos!$G$4:$G$324)</f>
        <v/>
      </c>
      <c r="F140" s="9">
        <f>C140+D140-E140</f>
        <v/>
      </c>
      <c r="G140" s="13" t="n">
        <v>0</v>
      </c>
      <c r="H140" s="9">
        <f>G140-F140</f>
        <v/>
      </c>
      <c r="I140" s="14">
        <f>IFERROR(H140/F140,0)</f>
        <v/>
      </c>
      <c r="J140" s="15">
        <f>IF(ABS(I140)&gt;$B$2,"Revisar","")</f>
        <v/>
      </c>
    </row>
    <row r="141">
      <c r="A141" s="6" t="inlineStr">
        <is>
          <t>BRILLO DE LIMÓN</t>
        </is>
      </c>
      <c r="B141" s="6" t="inlineStr">
        <is>
          <t>KG</t>
        </is>
      </c>
      <c r="C141" s="13" t="n">
        <v>0</v>
      </c>
      <c r="D141" s="13" t="n">
        <v>0</v>
      </c>
      <c r="E141" s="9">
        <f>SUMIF(Escandallos!$C$4:$C$324,A141,Escandallos!$G$4:$G$324)</f>
        <v/>
      </c>
      <c r="F141" s="9">
        <f>C141+D141-E141</f>
        <v/>
      </c>
      <c r="G141" s="13" t="n">
        <v>0</v>
      </c>
      <c r="H141" s="9">
        <f>G141-F141</f>
        <v/>
      </c>
      <c r="I141" s="14">
        <f>IFERROR(H141/F141,0)</f>
        <v/>
      </c>
      <c r="J141" s="15">
        <f>IF(ABS(I141)&gt;$B$2,"Revisar","")</f>
        <v/>
      </c>
    </row>
    <row r="142">
      <c r="A142" s="6" t="inlineStr">
        <is>
          <t>PASTA DE CHOCOLATE Y AVELLANA</t>
        </is>
      </c>
      <c r="B142" s="6" t="inlineStr">
        <is>
          <t>KG</t>
        </is>
      </c>
      <c r="C142" s="13" t="n">
        <v>0</v>
      </c>
      <c r="D142" s="13" t="n">
        <v>0</v>
      </c>
      <c r="E142" s="9">
        <f>SUMIF(Escandallos!$C$4:$C$324,A142,Escandallos!$G$4:$G$324)</f>
        <v/>
      </c>
      <c r="F142" s="9">
        <f>C142+D142-E142</f>
        <v/>
      </c>
      <c r="G142" s="13" t="n">
        <v>0</v>
      </c>
      <c r="H142" s="9">
        <f>G142-F142</f>
        <v/>
      </c>
      <c r="I142" s="14">
        <f>IFERROR(H142/F142,0)</f>
        <v/>
      </c>
      <c r="J142" s="15">
        <f>IF(ABS(I142)&gt;$B$2,"Revisar","")</f>
        <v/>
      </c>
    </row>
    <row r="143">
      <c r="A143" s="6" t="inlineStr">
        <is>
          <t>BRILLO</t>
        </is>
      </c>
      <c r="B143" s="6" t="inlineStr">
        <is>
          <t>KG</t>
        </is>
      </c>
      <c r="C143" s="13" t="n">
        <v>0</v>
      </c>
      <c r="D143" s="13" t="n">
        <v>0</v>
      </c>
      <c r="E143" s="9">
        <f>SUMIF(Escandallos!$C$4:$C$324,A143,Escandallos!$G$4:$G$324)</f>
        <v/>
      </c>
      <c r="F143" s="9">
        <f>C143+D143-E143</f>
        <v/>
      </c>
      <c r="G143" s="13" t="n">
        <v>0</v>
      </c>
      <c r="H143" s="9">
        <f>G143-F143</f>
        <v/>
      </c>
      <c r="I143" s="14">
        <f>IFERROR(H143/F143,0)</f>
        <v/>
      </c>
      <c r="J143" s="15">
        <f>IF(ABS(I143)&gt;$B$2,"Revisar","")</f>
        <v/>
      </c>
    </row>
    <row r="144">
      <c r="A144" s="6" t="inlineStr">
        <is>
          <t>AVELLANAS TROCEADOS</t>
        </is>
      </c>
      <c r="B144" s="6" t="inlineStr">
        <is>
          <t>KG</t>
        </is>
      </c>
      <c r="C144" s="13" t="n">
        <v>0</v>
      </c>
      <c r="D144" s="13" t="n">
        <v>0</v>
      </c>
      <c r="E144" s="9">
        <f>SUMIF(Escandallos!$C$4:$C$324,A144,Escandallos!$G$4:$G$324)</f>
        <v/>
      </c>
      <c r="F144" s="9">
        <f>C144+D144-E144</f>
        <v/>
      </c>
      <c r="G144" s="13" t="n">
        <v>0</v>
      </c>
      <c r="H144" s="9">
        <f>G144-F144</f>
        <v/>
      </c>
      <c r="I144" s="14">
        <f>IFERROR(H144/F144,0)</f>
        <v/>
      </c>
      <c r="J144" s="15">
        <f>IF(ABS(I144)&gt;$B$2,"Revisar","")</f>
        <v/>
      </c>
    </row>
    <row r="145">
      <c r="A145" s="6" t="inlineStr">
        <is>
          <t>SABLÈE</t>
        </is>
      </c>
      <c r="B145" s="6" t="inlineStr">
        <is>
          <t>KG</t>
        </is>
      </c>
      <c r="C145" s="13" t="n">
        <v>0</v>
      </c>
      <c r="D145" s="13" t="n">
        <v>0</v>
      </c>
      <c r="E145" s="9">
        <f>SUMIF(Escandallos!$C$4:$C$324,A145,Escandallos!$G$4:$G$324)</f>
        <v/>
      </c>
      <c r="F145" s="9">
        <f>C145+D145-E145</f>
        <v/>
      </c>
      <c r="G145" s="13" t="n">
        <v>0</v>
      </c>
      <c r="H145" s="9">
        <f>G145-F145</f>
        <v/>
      </c>
      <c r="I145" s="14">
        <f>IFERROR(H145/F145,0)</f>
        <v/>
      </c>
      <c r="J145" s="15">
        <f>IF(ABS(I145)&gt;$B$2,"Revisar","")</f>
        <v/>
      </c>
    </row>
    <row r="146">
      <c r="A146" s="6" t="inlineStr">
        <is>
          <t>QUESO IDIAZABAL AHUMADO</t>
        </is>
      </c>
      <c r="B146" s="6" t="inlineStr">
        <is>
          <t>KG</t>
        </is>
      </c>
      <c r="C146" s="13" t="n">
        <v>0</v>
      </c>
      <c r="D146" s="13" t="n">
        <v>0</v>
      </c>
      <c r="E146" s="9">
        <f>SUMIF(Escandallos!$C$4:$C$324,A146,Escandallos!$G$4:$G$324)</f>
        <v/>
      </c>
      <c r="F146" s="9">
        <f>C146+D146-E146</f>
        <v/>
      </c>
      <c r="G146" s="13" t="n">
        <v>0</v>
      </c>
      <c r="H146" s="9">
        <f>G146-F146</f>
        <v/>
      </c>
      <c r="I146" s="14">
        <f>IFERROR(H146/F146,0)</f>
        <v/>
      </c>
      <c r="J146" s="15">
        <f>IF(ABS(I146)&gt;$B$2,"Revisar","")</f>
        <v/>
      </c>
    </row>
    <row r="147">
      <c r="A147" s="6" t="inlineStr">
        <is>
          <t>NATA</t>
        </is>
      </c>
      <c r="B147" s="6" t="inlineStr">
        <is>
          <t>KG</t>
        </is>
      </c>
      <c r="C147" s="13" t="n">
        <v>0</v>
      </c>
      <c r="D147" s="13" t="n">
        <v>0</v>
      </c>
      <c r="E147" s="9">
        <f>SUMIF(Escandallos!$C$4:$C$324,A147,Escandallos!$G$4:$G$324)</f>
        <v/>
      </c>
      <c r="F147" s="9">
        <f>C147+D147-E147</f>
        <v/>
      </c>
      <c r="G147" s="13" t="n">
        <v>0</v>
      </c>
      <c r="H147" s="9">
        <f>G147-F147</f>
        <v/>
      </c>
      <c r="I147" s="14">
        <f>IFERROR(H147/F147,0)</f>
        <v/>
      </c>
      <c r="J147" s="15">
        <f>IF(ABS(I147)&gt;$B$2,"Revisar","")</f>
        <v/>
      </c>
    </row>
    <row r="148">
      <c r="A148" s="6" t="inlineStr">
        <is>
          <t>AZÙCAR BLANCO</t>
        </is>
      </c>
      <c r="B148" s="6" t="inlineStr">
        <is>
          <t>KG</t>
        </is>
      </c>
      <c r="C148" s="13" t="n">
        <v>0</v>
      </c>
      <c r="D148" s="13" t="n">
        <v>0</v>
      </c>
      <c r="E148" s="9">
        <f>SUMIF(Escandallos!$C$4:$C$324,A148,Escandallos!$G$4:$G$324)</f>
        <v/>
      </c>
      <c r="F148" s="9">
        <f>C148+D148-E148</f>
        <v/>
      </c>
      <c r="G148" s="13" t="n">
        <v>0</v>
      </c>
      <c r="H148" s="9">
        <f>G148-F148</f>
        <v/>
      </c>
      <c r="I148" s="14">
        <f>IFERROR(H148/F148,0)</f>
        <v/>
      </c>
      <c r="J148" s="15">
        <f>IF(ABS(I148)&gt;$B$2,"Revisar","")</f>
        <v/>
      </c>
    </row>
    <row r="149">
      <c r="A149" s="6" t="inlineStr">
        <is>
          <t>QUESO DE CABRA</t>
        </is>
      </c>
      <c r="B149" s="6" t="inlineStr">
        <is>
          <t>KG</t>
        </is>
      </c>
      <c r="C149" s="13" t="n">
        <v>0</v>
      </c>
      <c r="D149" s="13" t="n">
        <v>0</v>
      </c>
      <c r="E149" s="9">
        <f>SUMIF(Escandallos!$C$4:$C$324,A149,Escandallos!$G$4:$G$324)</f>
        <v/>
      </c>
      <c r="F149" s="9">
        <f>C149+D149-E149</f>
        <v/>
      </c>
      <c r="G149" s="13" t="n">
        <v>0</v>
      </c>
      <c r="H149" s="9">
        <f>G149-F149</f>
        <v/>
      </c>
      <c r="I149" s="14">
        <f>IFERROR(H149/F149,0)</f>
        <v/>
      </c>
      <c r="J149" s="15">
        <f>IF(ABS(I149)&gt;$B$2,"Revisar","")</f>
        <v/>
      </c>
    </row>
    <row r="150">
      <c r="A150" s="6" t="inlineStr">
        <is>
          <t>YEMA DE HUEVO</t>
        </is>
      </c>
      <c r="B150" s="6" t="inlineStr">
        <is>
          <t>KG</t>
        </is>
      </c>
      <c r="C150" s="13" t="n">
        <v>0</v>
      </c>
      <c r="D150" s="13" t="n">
        <v>0</v>
      </c>
      <c r="E150" s="9">
        <f>SUMIF(Escandallos!$C$4:$C$324,A150,Escandallos!$G$4:$G$324)</f>
        <v/>
      </c>
      <c r="F150" s="9">
        <f>C150+D150-E150</f>
        <v/>
      </c>
      <c r="G150" s="13" t="n">
        <v>0</v>
      </c>
      <c r="H150" s="9">
        <f>G150-F150</f>
        <v/>
      </c>
      <c r="I150" s="14">
        <f>IFERROR(H150/F150,0)</f>
        <v/>
      </c>
      <c r="J150" s="15">
        <f>IF(ABS(I150)&gt;$B$2,"Revisar","")</f>
        <v/>
      </c>
    </row>
    <row r="151">
      <c r="A151" s="6" t="inlineStr">
        <is>
          <t>QUESO CREMA</t>
        </is>
      </c>
      <c r="B151" s="6" t="inlineStr">
        <is>
          <t>KG</t>
        </is>
      </c>
      <c r="C151" s="13" t="n">
        <v>0</v>
      </c>
      <c r="D151" s="13" t="n">
        <v>0</v>
      </c>
      <c r="E151" s="9">
        <f>SUMIF(Escandallos!$C$4:$C$324,A151,Escandallos!$G$4:$G$324)</f>
        <v/>
      </c>
      <c r="F151" s="9">
        <f>C151+D151-E151</f>
        <v/>
      </c>
      <c r="G151" s="13" t="n">
        <v>0</v>
      </c>
      <c r="H151" s="9">
        <f>G151-F151</f>
        <v/>
      </c>
      <c r="I151" s="14">
        <f>IFERROR(H151/F151,0)</f>
        <v/>
      </c>
      <c r="J151" s="15">
        <f>IF(ABS(I151)&gt;$B$2,"Revisar","")</f>
        <v/>
      </c>
    </row>
    <row r="152">
      <c r="A152" s="6" t="inlineStr">
        <is>
          <t>HUEVO</t>
        </is>
      </c>
      <c r="B152" s="6" t="inlineStr">
        <is>
          <t>KG</t>
        </is>
      </c>
      <c r="C152" s="13" t="n">
        <v>0</v>
      </c>
      <c r="D152" s="13" t="n">
        <v>0</v>
      </c>
      <c r="E152" s="9">
        <f>SUMIF(Escandallos!$C$4:$C$324,A152,Escandallos!$G$4:$G$324)</f>
        <v/>
      </c>
      <c r="F152" s="9">
        <f>C152+D152-E152</f>
        <v/>
      </c>
      <c r="G152" s="13" t="n">
        <v>0</v>
      </c>
      <c r="H152" s="9">
        <f>G152-F152</f>
        <v/>
      </c>
      <c r="I152" s="14">
        <f>IFERROR(H152/F152,0)</f>
        <v/>
      </c>
      <c r="J152" s="15">
        <f>IF(ABS(I152)&gt;$B$2,"Revisar","")</f>
        <v/>
      </c>
    </row>
    <row r="153">
      <c r="A153" s="6" t="inlineStr">
        <is>
          <t>AZÙCAR</t>
        </is>
      </c>
      <c r="B153" s="6" t="inlineStr">
        <is>
          <t>KG</t>
        </is>
      </c>
      <c r="C153" s="13" t="n">
        <v>0</v>
      </c>
      <c r="D153" s="13" t="n">
        <v>0</v>
      </c>
      <c r="E153" s="9">
        <f>SUMIF(Escandallos!$C$4:$C$324,A153,Escandallos!$G$4:$G$324)</f>
        <v/>
      </c>
      <c r="F153" s="9">
        <f>C153+D153-E153</f>
        <v/>
      </c>
      <c r="G153" s="13" t="n">
        <v>0</v>
      </c>
      <c r="H153" s="9">
        <f>G153-F153</f>
        <v/>
      </c>
      <c r="I153" s="14">
        <f>IFERROR(H153/F153,0)</f>
        <v/>
      </c>
      <c r="J153" s="15">
        <f>IF(ABS(I153)&gt;$B$2,"Revisar","")</f>
        <v/>
      </c>
    </row>
    <row r="154">
      <c r="A154" s="6" t="inlineStr">
        <is>
          <t>HUEVOS</t>
        </is>
      </c>
      <c r="B154" s="6" t="inlineStr">
        <is>
          <t>KG</t>
        </is>
      </c>
      <c r="C154" s="13" t="n">
        <v>0</v>
      </c>
      <c r="D154" s="13" t="n">
        <v>0</v>
      </c>
      <c r="E154" s="9">
        <f>SUMIF(Escandallos!$C$4:$C$324,A154,Escandallos!$G$4:$G$324)</f>
        <v/>
      </c>
      <c r="F154" s="9">
        <f>C154+D154-E154</f>
        <v/>
      </c>
      <c r="G154" s="13" t="n">
        <v>0</v>
      </c>
      <c r="H154" s="9">
        <f>G154-F154</f>
        <v/>
      </c>
      <c r="I154" s="14">
        <f>IFERROR(H154/F154,0)</f>
        <v/>
      </c>
      <c r="J154" s="15">
        <f>IF(ABS(I154)&gt;$B$2,"Revisar","")</f>
        <v/>
      </c>
    </row>
    <row r="155">
      <c r="A155" s="6" t="inlineStr">
        <is>
          <t>HARINA FLOJA</t>
        </is>
      </c>
      <c r="B155" s="6" t="inlineStr">
        <is>
          <t>KG</t>
        </is>
      </c>
      <c r="C155" s="13" t="n">
        <v>0</v>
      </c>
      <c r="D155" s="13" t="n">
        <v>0</v>
      </c>
      <c r="E155" s="9">
        <f>SUMIF(Escandallos!$C$4:$C$324,A155,Escandallos!$G$4:$G$324)</f>
        <v/>
      </c>
      <c r="F155" s="9">
        <f>C155+D155-E155</f>
        <v/>
      </c>
      <c r="G155" s="13" t="n">
        <v>0</v>
      </c>
      <c r="H155" s="9">
        <f>G155-F155</f>
        <v/>
      </c>
      <c r="I155" s="14">
        <f>IFERROR(H155/F155,0)</f>
        <v/>
      </c>
      <c r="J155" s="15">
        <f>IF(ABS(I155)&gt;$B$2,"Revisar","")</f>
        <v/>
      </c>
    </row>
    <row r="156">
      <c r="A156" s="6" t="inlineStr">
        <is>
          <t>CREMA DE ALMENDRAS</t>
        </is>
      </c>
      <c r="B156" s="6" t="inlineStr">
        <is>
          <t>KG</t>
        </is>
      </c>
      <c r="C156" s="13" t="n">
        <v>0</v>
      </c>
      <c r="D156" s="13" t="n">
        <v>0</v>
      </c>
      <c r="E156" s="9">
        <f>SUMIF(Escandallos!$C$4:$C$324,A156,Escandallos!$G$4:$G$324)</f>
        <v/>
      </c>
      <c r="F156" s="9">
        <f>C156+D156-E156</f>
        <v/>
      </c>
      <c r="G156" s="13" t="n">
        <v>0</v>
      </c>
      <c r="H156" s="9">
        <f>G156-F156</f>
        <v/>
      </c>
      <c r="I156" s="14">
        <f>IFERROR(H156/F156,0)</f>
        <v/>
      </c>
      <c r="J156" s="15">
        <f>IF(ABS(I156)&gt;$B$2,"Revisar","")</f>
        <v/>
      </c>
    </row>
    <row r="157">
      <c r="A157" s="6" t="inlineStr">
        <is>
          <t>MIX MELOCOTONES</t>
        </is>
      </c>
      <c r="B157" s="6" t="inlineStr">
        <is>
          <t>KG</t>
        </is>
      </c>
      <c r="C157" s="13" t="n">
        <v>0</v>
      </c>
      <c r="D157" s="13" t="n">
        <v>0</v>
      </c>
      <c r="E157" s="9">
        <f>SUMIF(Escandallos!$C$4:$C$324,A157,Escandallos!$G$4:$G$324)</f>
        <v/>
      </c>
      <c r="F157" s="9">
        <f>C157+D157-E157</f>
        <v/>
      </c>
      <c r="G157" s="13" t="n">
        <v>0</v>
      </c>
      <c r="H157" s="9">
        <f>G157-F157</f>
        <v/>
      </c>
      <c r="I157" s="14">
        <f>IFERROR(H157/F157,0)</f>
        <v/>
      </c>
      <c r="J157" s="15">
        <f>IF(ABS(I157)&gt;$B$2,"Revisar","")</f>
        <v/>
      </c>
    </row>
    <row r="158">
      <c r="A158" s="6" t="inlineStr">
        <is>
          <t>AZÚCAR MORENO</t>
        </is>
      </c>
      <c r="B158" s="6" t="inlineStr">
        <is>
          <t>KG</t>
        </is>
      </c>
      <c r="C158" s="13" t="n">
        <v>0</v>
      </c>
      <c r="D158" s="13" t="n">
        <v>0</v>
      </c>
      <c r="E158" s="9">
        <f>SUMIF(Escandallos!$C$4:$C$324,A158,Escandallos!$G$4:$G$324)</f>
        <v/>
      </c>
      <c r="F158" s="9">
        <f>C158+D158-E158</f>
        <v/>
      </c>
      <c r="G158" s="13" t="n">
        <v>0</v>
      </c>
      <c r="H158" s="9">
        <f>G158-F158</f>
        <v/>
      </c>
      <c r="I158" s="14">
        <f>IFERROR(H158/F158,0)</f>
        <v/>
      </c>
      <c r="J158" s="15">
        <f>IF(ABS(I158)&gt;$B$2,"Revisar","")</f>
        <v/>
      </c>
    </row>
    <row r="159">
      <c r="A159" s="6" t="inlineStr">
        <is>
          <t>TOMILLO FRESCO</t>
        </is>
      </c>
      <c r="B159" s="6" t="inlineStr">
        <is>
          <t>KG</t>
        </is>
      </c>
      <c r="C159" s="13" t="n">
        <v>0</v>
      </c>
      <c r="D159" s="13" t="n">
        <v>0</v>
      </c>
      <c r="E159" s="9">
        <f>SUMIF(Escandallos!$C$4:$C$324,A159,Escandallos!$G$4:$G$324)</f>
        <v/>
      </c>
      <c r="F159" s="9">
        <f>C159+D159-E159</f>
        <v/>
      </c>
      <c r="G159" s="13" t="n">
        <v>0</v>
      </c>
      <c r="H159" s="9">
        <f>G159-F159</f>
        <v/>
      </c>
      <c r="I159" s="14">
        <f>IFERROR(H159/F159,0)</f>
        <v/>
      </c>
      <c r="J159" s="15">
        <f>IF(ABS(I159)&gt;$B$2,"Revisar","")</f>
        <v/>
      </c>
    </row>
    <row r="160">
      <c r="A160" s="6" t="inlineStr">
        <is>
          <t>HIGOS FRESCOS</t>
        </is>
      </c>
      <c r="B160" s="6" t="inlineStr">
        <is>
          <t>KG</t>
        </is>
      </c>
      <c r="C160" s="13" t="n">
        <v>0</v>
      </c>
      <c r="D160" s="13" t="n">
        <v>0</v>
      </c>
      <c r="E160" s="9">
        <f>SUMIF(Escandallos!$C$4:$C$324,A160,Escandallos!$G$4:$G$324)</f>
        <v/>
      </c>
      <c r="F160" s="9">
        <f>C160+D160-E160</f>
        <v/>
      </c>
      <c r="G160" s="13" t="n">
        <v>0</v>
      </c>
      <c r="H160" s="9">
        <f>G160-F160</f>
        <v/>
      </c>
      <c r="I160" s="14">
        <f>IFERROR(H160/F160,0)</f>
        <v/>
      </c>
      <c r="J160" s="15">
        <f>IF(ABS(I160)&gt;$B$2,"Revisar","")</f>
        <v/>
      </c>
    </row>
    <row r="161">
      <c r="A161" s="6" t="inlineStr">
        <is>
          <t>GRANOLA</t>
        </is>
      </c>
      <c r="B161" s="6" t="inlineStr">
        <is>
          <t>KG</t>
        </is>
      </c>
      <c r="C161" s="13" t="n">
        <v>0</v>
      </c>
      <c r="D161" s="13" t="n">
        <v>0</v>
      </c>
      <c r="E161" s="9">
        <f>SUMIF(Escandallos!$C$4:$C$324,A161,Escandallos!$G$4:$G$324)</f>
        <v/>
      </c>
      <c r="F161" s="9">
        <f>C161+D161-E161</f>
        <v/>
      </c>
      <c r="G161" s="13" t="n">
        <v>0</v>
      </c>
      <c r="H161" s="9">
        <f>G161-F161</f>
        <v/>
      </c>
      <c r="I161" s="14">
        <f>IFERROR(H161/F161,0)</f>
        <v/>
      </c>
      <c r="J161" s="15">
        <f>IF(ABS(I161)&gt;$B$2,"Revisar","")</f>
        <v/>
      </c>
    </row>
    <row r="162">
      <c r="A162" s="6" t="inlineStr">
        <is>
          <t>COMPOTA DE CEREZA Y VINAGRE DE JEREZ</t>
        </is>
      </c>
      <c r="B162" s="6" t="inlineStr">
        <is>
          <t>KG</t>
        </is>
      </c>
      <c r="C162" s="13" t="n">
        <v>0</v>
      </c>
      <c r="D162" s="13" t="n">
        <v>0</v>
      </c>
      <c r="E162" s="9">
        <f>SUMIF(Escandallos!$C$4:$C$324,A162,Escandallos!$G$4:$G$324)</f>
        <v/>
      </c>
      <c r="F162" s="9">
        <f>C162+D162-E162</f>
        <v/>
      </c>
      <c r="G162" s="13" t="n">
        <v>0</v>
      </c>
      <c r="H162" s="9">
        <f>G162-F162</f>
        <v/>
      </c>
      <c r="I162" s="14">
        <f>IFERROR(H162/F162,0)</f>
        <v/>
      </c>
      <c r="J162" s="15">
        <f>IF(ABS(I162)&gt;$B$2,"Revisar","")</f>
        <v/>
      </c>
    </row>
    <row r="163">
      <c r="A163" s="6" t="inlineStr">
        <is>
          <t>CRUMBLE</t>
        </is>
      </c>
      <c r="B163" s="6" t="inlineStr">
        <is>
          <t>KG</t>
        </is>
      </c>
      <c r="C163" s="13" t="n">
        <v>0</v>
      </c>
      <c r="D163" s="13" t="n">
        <v>0</v>
      </c>
      <c r="E163" s="9">
        <f>SUMIF(Escandallos!$C$4:$C$324,A163,Escandallos!$G$4:$G$324)</f>
        <v/>
      </c>
      <c r="F163" s="9">
        <f>C163+D163-E163</f>
        <v/>
      </c>
      <c r="G163" s="13" t="n">
        <v>0</v>
      </c>
      <c r="H163" s="9">
        <f>G163-F163</f>
        <v/>
      </c>
      <c r="I163" s="14">
        <f>IFERROR(H163/F163,0)</f>
        <v/>
      </c>
      <c r="J163" s="15">
        <f>IF(ABS(I163)&gt;$B$2,"Revisar","")</f>
        <v/>
      </c>
    </row>
    <row r="164">
      <c r="A164" s="6" t="inlineStr">
        <is>
          <t>AZÚCAR GLASS</t>
        </is>
      </c>
      <c r="B164" s="6" t="inlineStr">
        <is>
          <t>KG</t>
        </is>
      </c>
      <c r="C164" s="13" t="n">
        <v>0</v>
      </c>
      <c r="D164" s="13" t="n">
        <v>0</v>
      </c>
      <c r="E164" s="9">
        <f>SUMIF(Escandallos!$C$4:$C$324,A164,Escandallos!$G$4:$G$324)</f>
        <v/>
      </c>
      <c r="F164" s="9">
        <f>C164+D164-E164</f>
        <v/>
      </c>
      <c r="G164" s="13" t="n">
        <v>0</v>
      </c>
      <c r="H164" s="9">
        <f>G164-F164</f>
        <v/>
      </c>
      <c r="I164" s="14">
        <f>IFERROR(H164/F164,0)</f>
        <v/>
      </c>
      <c r="J164" s="15">
        <f>IF(ABS(I164)&gt;$B$2,"Revisar","")</f>
        <v/>
      </c>
    </row>
    <row r="165">
      <c r="A165" s="6" t="inlineStr">
        <is>
          <t>DIPLOMATA DE VAINILLA</t>
        </is>
      </c>
      <c r="B165" s="6" t="inlineStr">
        <is>
          <t>KG</t>
        </is>
      </c>
      <c r="C165" s="13" t="n">
        <v>0</v>
      </c>
      <c r="D165" s="13" t="n">
        <v>0</v>
      </c>
      <c r="E165" s="9">
        <f>SUMIF(Escandallos!$C$4:$C$324,A165,Escandallos!$G$4:$G$324)</f>
        <v/>
      </c>
      <c r="F165" s="9">
        <f>C165+D165-E165</f>
        <v/>
      </c>
      <c r="G165" s="13" t="n">
        <v>0</v>
      </c>
      <c r="H165" s="9">
        <f>G165-F165</f>
        <v/>
      </c>
      <c r="I165" s="14">
        <f>IFERROR(H165/F165,0)</f>
        <v/>
      </c>
      <c r="J165" s="15">
        <f>IF(ABS(I165)&gt;$B$2,"Revisar","")</f>
        <v/>
      </c>
    </row>
    <row r="166">
      <c r="A166" s="6" t="inlineStr">
        <is>
          <t>FRESAS FRESCAS</t>
        </is>
      </c>
      <c r="B166" s="6" t="inlineStr">
        <is>
          <t>KG</t>
        </is>
      </c>
      <c r="C166" s="13" t="n">
        <v>0</v>
      </c>
      <c r="D166" s="13" t="n">
        <v>0</v>
      </c>
      <c r="E166" s="9">
        <f>SUMIF(Escandallos!$C$4:$C$324,A166,Escandallos!$G$4:$G$324)</f>
        <v/>
      </c>
      <c r="F166" s="9">
        <f>C166+D166-E166</f>
        <v/>
      </c>
      <c r="G166" s="13" t="n">
        <v>0</v>
      </c>
      <c r="H166" s="9">
        <f>G166-F166</f>
        <v/>
      </c>
      <c r="I166" s="14">
        <f>IFERROR(H166/F166,0)</f>
        <v/>
      </c>
      <c r="J166" s="15">
        <f>IF(ABS(I166)&gt;$B$2,"Revisar","")</f>
        <v/>
      </c>
    </row>
    <row r="167">
      <c r="A167" s="6" t="inlineStr">
        <is>
          <t>HOJAS DE MENTA FRESCA</t>
        </is>
      </c>
      <c r="B167" s="6" t="inlineStr">
        <is>
          <t>KG</t>
        </is>
      </c>
      <c r="C167" s="13" t="n">
        <v>0</v>
      </c>
      <c r="D167" s="13" t="n">
        <v>0</v>
      </c>
      <c r="E167" s="9">
        <f>SUMIF(Escandallos!$C$4:$C$324,A167,Escandallos!$G$4:$G$324)</f>
        <v/>
      </c>
      <c r="F167" s="9">
        <f>C167+D167-E167</f>
        <v/>
      </c>
      <c r="G167" s="13" t="n">
        <v>0</v>
      </c>
      <c r="H167" s="9">
        <f>G167-F167</f>
        <v/>
      </c>
      <c r="I167" s="14">
        <f>IFERROR(H167/F167,0)</f>
        <v/>
      </c>
      <c r="J167" s="15">
        <f>IF(ABS(I167)&gt;$B$2,"Revisar","")</f>
        <v/>
      </c>
    </row>
    <row r="168">
      <c r="A168" s="6" t="inlineStr">
        <is>
          <t>PERAS EN ALMIBAR</t>
        </is>
      </c>
      <c r="B168" s="6" t="inlineStr">
        <is>
          <t>KG</t>
        </is>
      </c>
      <c r="C168" s="13" t="n">
        <v>0</v>
      </c>
      <c r="D168" s="13" t="n">
        <v>0</v>
      </c>
      <c r="E168" s="9">
        <f>SUMIF(Escandallos!$C$4:$C$324,A168,Escandallos!$G$4:$G$324)</f>
        <v/>
      </c>
      <c r="F168" s="9">
        <f>C168+D168-E168</f>
        <v/>
      </c>
      <c r="G168" s="13" t="n">
        <v>0</v>
      </c>
      <c r="H168" s="9">
        <f>G168-F168</f>
        <v/>
      </c>
      <c r="I168" s="14">
        <f>IFERROR(H168/F168,0)</f>
        <v/>
      </c>
      <c r="J168" s="15">
        <f>IF(ABS(I168)&gt;$B$2,"Revisar","")</f>
        <v/>
      </c>
    </row>
    <row r="169">
      <c r="A169" s="6" t="inlineStr">
        <is>
          <t>ALMIBAR DE CARDAMOMO REDUCIDO</t>
        </is>
      </c>
      <c r="B169" s="6" t="inlineStr">
        <is>
          <t>KG</t>
        </is>
      </c>
      <c r="C169" s="13" t="n">
        <v>0</v>
      </c>
      <c r="D169" s="13" t="n">
        <v>0</v>
      </c>
      <c r="E169" s="9">
        <f>SUMIF(Escandallos!$C$4:$C$324,A169,Escandallos!$G$4:$G$324)</f>
        <v/>
      </c>
      <c r="F169" s="9">
        <f>C169+D169-E169</f>
        <v/>
      </c>
      <c r="G169" s="13" t="n">
        <v>0</v>
      </c>
      <c r="H169" s="9">
        <f>G169-F169</f>
        <v/>
      </c>
      <c r="I169" s="14">
        <f>IFERROR(H169/F169,0)</f>
        <v/>
      </c>
      <c r="J169" s="15">
        <f>IF(ABS(I169)&gt;$B$2,"Revisar","")</f>
        <v/>
      </c>
    </row>
    <row r="170">
      <c r="A170" s="6" t="inlineStr">
        <is>
          <t>ALMENDRAS LAMINADAS</t>
        </is>
      </c>
      <c r="B170" s="6" t="inlineStr">
        <is>
          <t>KG</t>
        </is>
      </c>
      <c r="C170" s="13" t="n">
        <v>0</v>
      </c>
      <c r="D170" s="13" t="n">
        <v>0</v>
      </c>
      <c r="E170" s="9">
        <f>SUMIF(Escandallos!$C$4:$C$324,A170,Escandallos!$G$4:$G$324)</f>
        <v/>
      </c>
      <c r="F170" s="9">
        <f>C170+D170-E170</f>
        <v/>
      </c>
      <c r="G170" s="13" t="n">
        <v>0</v>
      </c>
      <c r="H170" s="9">
        <f>G170-F170</f>
        <v/>
      </c>
      <c r="I170" s="14">
        <f>IFERROR(H170/F170,0)</f>
        <v/>
      </c>
      <c r="J170" s="15">
        <f>IF(ABS(I170)&gt;$B$2,"Revisar","")</f>
        <v/>
      </c>
    </row>
    <row r="171">
      <c r="A171" s="6" t="inlineStr">
        <is>
          <t>AGUA CON GAS</t>
        </is>
      </c>
      <c r="B171" s="6" t="inlineStr">
        <is>
          <t>UD</t>
        </is>
      </c>
      <c r="C171" s="13" t="n">
        <v>0</v>
      </c>
      <c r="D171" s="13" t="n">
        <v>0</v>
      </c>
      <c r="E171" s="9">
        <f>SUMIF(Escandallos!$C$4:$C$331,A171,Escandallos!$G$4:$G$331)</f>
        <v/>
      </c>
      <c r="F171" s="9">
        <f>C171+D171-E171</f>
        <v/>
      </c>
      <c r="G171" s="13" t="n">
        <v>0</v>
      </c>
      <c r="H171" s="9">
        <f>G171-F171</f>
        <v/>
      </c>
      <c r="I171" s="14">
        <f>IFERROR(H171/F171,0)</f>
        <v/>
      </c>
      <c r="J171" s="15">
        <f>IF(ABS(I171)&gt;$B$2,"Revisar","")</f>
        <v/>
      </c>
    </row>
    <row r="172">
      <c r="A172" s="6" t="inlineStr">
        <is>
          <t>AGUA SIN GAS</t>
        </is>
      </c>
      <c r="B172" s="6" t="inlineStr">
        <is>
          <t>UD</t>
        </is>
      </c>
      <c r="C172" s="13" t="n">
        <v>0</v>
      </c>
      <c r="D172" s="13" t="n">
        <v>0</v>
      </c>
      <c r="E172" s="9">
        <f>SUMIF(Escandallos!$C$4:$C$331,A172,Escandallos!$G$4:$G$331)</f>
        <v/>
      </c>
      <c r="F172" s="9">
        <f>C172+D172-E172</f>
        <v/>
      </c>
      <c r="G172" s="13" t="n">
        <v>0</v>
      </c>
      <c r="H172" s="9">
        <f>G172-F172</f>
        <v/>
      </c>
      <c r="I172" s="14">
        <f>IFERROR(H172/F172,0)</f>
        <v/>
      </c>
      <c r="J172" s="15">
        <f>IF(ABS(I172)&gt;$B$2,"Revisar","")</f>
        <v/>
      </c>
    </row>
    <row r="173">
      <c r="A173" s="6" t="inlineStr">
        <is>
          <t>REFRESCO DE COLA</t>
        </is>
      </c>
      <c r="B173" s="6" t="inlineStr">
        <is>
          <t>UD</t>
        </is>
      </c>
      <c r="C173" s="13" t="n">
        <v>0</v>
      </c>
      <c r="D173" s="13" t="n">
        <v>0</v>
      </c>
      <c r="E173" s="9">
        <f>SUMIF(Escandallos!$C$4:$C$331,A173,Escandallos!$G$4:$G$331)</f>
        <v/>
      </c>
      <c r="F173" s="9">
        <f>C173+D173-E173</f>
        <v/>
      </c>
      <c r="G173" s="13" t="n">
        <v>0</v>
      </c>
      <c r="H173" s="9">
        <f>G173-F173</f>
        <v/>
      </c>
      <c r="I173" s="14">
        <f>IFERROR(H173/F173,0)</f>
        <v/>
      </c>
      <c r="J173" s="15">
        <f>IF(ABS(I173)&gt;$B$2,"Revisar","")</f>
        <v/>
      </c>
    </row>
    <row r="174">
      <c r="A174" s="6" t="inlineStr">
        <is>
          <t>REFRESCO DE COLA ZERO</t>
        </is>
      </c>
      <c r="B174" s="6" t="inlineStr">
        <is>
          <t>UD</t>
        </is>
      </c>
      <c r="C174" s="13" t="n">
        <v>0</v>
      </c>
      <c r="D174" s="13" t="n">
        <v>0</v>
      </c>
      <c r="E174" s="9">
        <f>SUMIF(Escandallos!$C$4:$C$331,A174,Escandallos!$G$4:$G$331)</f>
        <v/>
      </c>
      <c r="F174" s="9">
        <f>C174+D174-E174</f>
        <v/>
      </c>
      <c r="G174" s="13" t="n">
        <v>0</v>
      </c>
      <c r="H174" s="9">
        <f>G174-F174</f>
        <v/>
      </c>
      <c r="I174" s="14">
        <f>IFERROR(H174/F174,0)</f>
        <v/>
      </c>
      <c r="J174" s="15">
        <f>IF(ABS(I174)&gt;$B$2,"Revisar","")</f>
        <v/>
      </c>
    </row>
    <row r="175">
      <c r="A175" s="6" t="inlineStr">
        <is>
          <t>ZUMO DE NARANJA NATURAL</t>
        </is>
      </c>
      <c r="B175" s="6" t="inlineStr">
        <is>
          <t>UD</t>
        </is>
      </c>
      <c r="C175" s="13" t="n">
        <v>0</v>
      </c>
      <c r="D175" s="13" t="n">
        <v>0</v>
      </c>
      <c r="E175" s="9">
        <f>SUMIF(Escandallos!$C$4:$C$331,A175,Escandallos!$G$4:$G$331)</f>
        <v/>
      </c>
      <c r="F175" s="9">
        <f>C175+D175-E175</f>
        <v/>
      </c>
      <c r="G175" s="13" t="n">
        <v>0</v>
      </c>
      <c r="H175" s="9">
        <f>G175-F175</f>
        <v/>
      </c>
      <c r="I175" s="14">
        <f>IFERROR(H175/F175,0)</f>
        <v/>
      </c>
      <c r="J175" s="15">
        <f>IF(ABS(I175)&gt;$B$2,"Revisar","")</f>
        <v/>
      </c>
    </row>
    <row r="176">
      <c r="A176" s="6" t="inlineStr">
        <is>
          <t>CERVEZA BOTELLÍN</t>
        </is>
      </c>
      <c r="B176" s="6" t="inlineStr">
        <is>
          <t>UD</t>
        </is>
      </c>
      <c r="C176" s="13" t="n">
        <v>0</v>
      </c>
      <c r="D176" s="13" t="n">
        <v>0</v>
      </c>
      <c r="E176" s="9">
        <f>SUMIF(Escandallos!$C$4:$C$331,A176,Escandallos!$G$4:$G$331)</f>
        <v/>
      </c>
      <c r="F176" s="9">
        <f>C176+D176-E176</f>
        <v/>
      </c>
      <c r="G176" s="13" t="n">
        <v>0</v>
      </c>
      <c r="H176" s="9">
        <f>G176-F176</f>
        <v/>
      </c>
      <c r="I176" s="14">
        <f>IFERROR(H176/F176,0)</f>
        <v/>
      </c>
      <c r="J176" s="15">
        <f>IF(ABS(I176)&gt;$B$2,"Revisar","")</f>
        <v/>
      </c>
    </row>
    <row r="177">
      <c r="A177" s="6" t="inlineStr">
        <is>
          <t>COPA DE VINO</t>
        </is>
      </c>
      <c r="B177" s="6" t="inlineStr">
        <is>
          <t>UD</t>
        </is>
      </c>
      <c r="C177" s="13" t="n">
        <v>0</v>
      </c>
      <c r="D177" s="13" t="n">
        <v>0</v>
      </c>
      <c r="E177" s="9">
        <f>SUMIF(Escandallos!$C$4:$C$331,A177,Escandallos!$G$4:$G$331)</f>
        <v/>
      </c>
      <c r="F177" s="9">
        <f>C177+D177-E177</f>
        <v/>
      </c>
      <c r="G177" s="13" t="n">
        <v>0</v>
      </c>
      <c r="H177" s="9">
        <f>G177-F177</f>
        <v/>
      </c>
      <c r="I177" s="14">
        <f>IFERROR(H177/F177,0)</f>
        <v/>
      </c>
      <c r="J177" s="15">
        <f>IF(ABS(I177)&gt;$B$2,"Revisar","")</f>
        <v/>
      </c>
    </row>
    <row r="179">
      <c r="A179" s="6" t="inlineStr">
        <is>
          <t>Total</t>
        </is>
      </c>
      <c r="B179" s="6" t="n"/>
      <c r="C179" s="13">
        <f>SUM(C5:C177)</f>
        <v/>
      </c>
      <c r="D179" s="13">
        <f>SUM(D5:D177)</f>
        <v/>
      </c>
      <c r="E179" s="9">
        <f>SUM(E5:E177)</f>
        <v/>
      </c>
      <c r="F179" s="9">
        <f>SUM(F5:F177)</f>
        <v/>
      </c>
      <c r="G179" s="13">
        <f>SUM(G5:G177)</f>
        <v/>
      </c>
      <c r="H179" s="9">
        <f>SUM(H5:H177)</f>
        <v/>
      </c>
      <c r="I179" s="14" t="n"/>
      <c r="J179" s="15">
        <f>COUNTIF(J5:J177,"Revisar")&amp;" ingrediente(s) a revisar"</f>
        <v/>
      </c>
    </row>
    <row r="181">
      <c r="A181" s="4" t="inlineStr">
        <is>
          <t>CONSUMIBLES — seguimiento directo por compras y recuento (limpieza, papel, envases; no vinculado a ventas)</t>
        </is>
      </c>
    </row>
    <row r="182">
      <c r="A182" s="8" t="inlineStr">
        <is>
          <t>Producto</t>
        </is>
      </c>
      <c r="B182" s="8" t="inlineStr">
        <is>
          <t>Unidad</t>
        </is>
      </c>
      <c r="C182" s="8" t="inlineStr">
        <is>
          <t>Stock mes anterior</t>
        </is>
      </c>
      <c r="D182" s="8" t="inlineStr">
        <is>
          <t>Compras del mes</t>
        </is>
      </c>
      <c r="E182" s="8" t="inlineStr">
        <is>
          <t>Stock final (recuento real)</t>
        </is>
      </c>
      <c r="F182" s="8" t="inlineStr">
        <is>
          <t>Consumo real del mes</t>
        </is>
      </c>
      <c r="G182" s="8" t="inlineStr">
        <is>
          <t>Revisar</t>
        </is>
      </c>
    </row>
    <row r="183">
      <c r="A183" s="6" t="inlineStr">
        <is>
          <t>Servilletas de papel</t>
        </is>
      </c>
      <c r="B183" s="6" t="inlineStr">
        <is>
          <t>PAQ</t>
        </is>
      </c>
      <c r="C183" s="13" t="n">
        <v>0</v>
      </c>
      <c r="D183" s="13" t="n">
        <v>0</v>
      </c>
      <c r="E183" s="9" t="n">
        <v>0</v>
      </c>
      <c r="F183" s="9">
        <f>C183+D183-E183</f>
        <v/>
      </c>
      <c r="G183" s="13">
        <f>IF(F183&lt;0,"Revisar (recuento negativo)","")</f>
        <v/>
      </c>
      <c r="H183" t="inlineStr">
        <is>
          <t>EJEMPLO — sustituir por el listado real de consumibles de Lady Madrid (confirmar con cocina/sala)</t>
        </is>
      </c>
    </row>
    <row r="184">
      <c r="A184" s="6" t="inlineStr">
        <is>
          <t>Papel de horno</t>
        </is>
      </c>
      <c r="B184" s="6" t="inlineStr">
        <is>
          <t>UD</t>
        </is>
      </c>
      <c r="C184" s="13" t="n">
        <v>0</v>
      </c>
      <c r="D184" s="13" t="n">
        <v>0</v>
      </c>
      <c r="E184" s="9" t="n">
        <v>0</v>
      </c>
      <c r="F184" s="9">
        <f>C184+D184-E184</f>
        <v/>
      </c>
      <c r="G184" s="13">
        <f>IF(F184&lt;0,"Revisar (recuento negativo)","")</f>
        <v/>
      </c>
    </row>
    <row r="185">
      <c r="A185" s="6" t="inlineStr">
        <is>
          <t>Film transparente</t>
        </is>
      </c>
      <c r="B185" s="6" t="inlineStr">
        <is>
          <t>UD</t>
        </is>
      </c>
      <c r="C185" s="13" t="n">
        <v>0</v>
      </c>
      <c r="D185" s="13" t="n">
        <v>0</v>
      </c>
      <c r="E185" s="9" t="n">
        <v>0</v>
      </c>
      <c r="F185" s="9">
        <f>C185+D185-E185</f>
        <v/>
      </c>
      <c r="G185" s="13">
        <f>IF(F185&lt;0,"Revisar (recuento negativo)","")</f>
        <v/>
      </c>
    </row>
    <row r="186">
      <c r="A186" s="6" t="inlineStr">
        <is>
          <t>Bolsas de basura</t>
        </is>
      </c>
      <c r="B186" s="6" t="inlineStr">
        <is>
          <t>UD</t>
        </is>
      </c>
      <c r="C186" s="13" t="n">
        <v>0</v>
      </c>
      <c r="D186" s="13" t="n">
        <v>0</v>
      </c>
      <c r="E186" s="9" t="n">
        <v>0</v>
      </c>
      <c r="F186" s="9">
        <f>C186+D186-E186</f>
        <v/>
      </c>
      <c r="G186" s="13">
        <f>IF(F186&lt;0,"Revisar (recuento negativo)","")</f>
        <v/>
      </c>
    </row>
    <row r="187">
      <c r="A187" s="6" t="inlineStr">
        <is>
          <t>Guantes de nitrilo</t>
        </is>
      </c>
      <c r="B187" s="6" t="inlineStr">
        <is>
          <t>CAJA</t>
        </is>
      </c>
      <c r="C187" s="13" t="n">
        <v>0</v>
      </c>
      <c r="D187" s="13" t="n">
        <v>0</v>
      </c>
      <c r="E187" s="9" t="n">
        <v>0</v>
      </c>
      <c r="F187" s="9">
        <f>C187+D187-E187</f>
        <v/>
      </c>
      <c r="G187" s="13">
        <f>IF(F187&lt;0,"Revisar (recuento negativo)","")</f>
        <v/>
      </c>
    </row>
    <row r="188">
      <c r="A188" s="6" t="inlineStr">
        <is>
          <t>Detergente lavavajillas</t>
        </is>
      </c>
      <c r="B188" s="6" t="inlineStr">
        <is>
          <t>UD</t>
        </is>
      </c>
      <c r="C188" s="13" t="n">
        <v>0</v>
      </c>
      <c r="D188" s="13" t="n">
        <v>0</v>
      </c>
      <c r="E188" s="9" t="n">
        <v>0</v>
      </c>
      <c r="F188" s="9">
        <f>C188+D188-E188</f>
        <v/>
      </c>
      <c r="G188" s="13">
        <f>IF(F188&lt;0,"Revisar (recuento negativo)","")</f>
        <v/>
      </c>
    </row>
    <row r="189">
      <c r="A189" s="6" t="inlineStr">
        <is>
          <t>Envases take away</t>
        </is>
      </c>
      <c r="B189" s="6" t="inlineStr">
        <is>
          <t>UD</t>
        </is>
      </c>
      <c r="C189" s="13" t="n">
        <v>0</v>
      </c>
      <c r="D189" s="13" t="n">
        <v>0</v>
      </c>
      <c r="E189" s="9" t="n">
        <v>0</v>
      </c>
      <c r="F189" s="9">
        <f>C189+D189-E189</f>
        <v/>
      </c>
      <c r="G189" s="13">
        <f>IF(F189&lt;0,"Revisar (recuento negativo)","")</f>
        <v/>
      </c>
    </row>
    <row r="190">
      <c r="A190" s="6" t="inlineStr">
        <is>
          <t>Vasos y tapas para llevar</t>
        </is>
      </c>
      <c r="B190" s="6" t="inlineStr">
        <is>
          <t>UD</t>
        </is>
      </c>
      <c r="C190" s="13" t="n">
        <v>0</v>
      </c>
      <c r="D190" s="13" t="n">
        <v>0</v>
      </c>
      <c r="E190" s="9" t="n">
        <v>0</v>
      </c>
      <c r="F190" s="9">
        <f>C190+D190-E190</f>
        <v/>
      </c>
      <c r="G190" s="13">
        <f>IF(F190&lt;0,"Revisar (recuento negativo)","")</f>
        <v/>
      </c>
    </row>
  </sheetData>
  <mergeCells count="2">
    <mergeCell ref="A1:J1"/>
    <mergeCell ref="A181:G18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2026-10-13T12:29:49Z</dcterms:created>
  <dcterms:modified xmlns:dcterms="http://purl.org/dc/terms/" xmlns:xsi="http://www.w3.org/2001/XMLSchema-instance" xsi:type="dcterms:W3CDTF">2026-10-20T13:17:41Z</dcterms:modified>
</cp:coreProperties>
</file>